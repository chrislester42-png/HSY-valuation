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21BFE91B-72D0-734F-853F-64047DFF48D0}" xr6:coauthVersionLast="47" xr6:coauthVersionMax="47" xr10:uidLastSave="{00000000-0000-0000-0000-000000000000}"/>
  <bookViews>
    <workbookView xWindow="0" yWindow="600" windowWidth="28800" windowHeight="15720" tabRatio="500" xr2:uid="{00000000-000D-0000-FFFF-FFFF00000000}"/>
  </bookViews>
  <sheets>
    <sheet name="FrontPage" sheetId="1" r:id="rId1"/>
    <sheet name="Detail Data" sheetId="2" r:id="rId2"/>
    <sheet name="DCF 1-Pager" sheetId="5" r:id="rId3"/>
    <sheet name="WACC calculation" sheetId="6" r:id="rId4"/>
    <sheet name="Relative Valuation" sheetId="7" r:id="rId5"/>
    <sheet name="Key Defns" sheetId="3" r:id="rId6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8" i="1" l="1"/>
  <c r="I32" i="1"/>
  <c r="I31" i="1"/>
  <c r="M32" i="1"/>
  <c r="M24" i="1"/>
  <c r="M23" i="1"/>
  <c r="M22" i="1"/>
  <c r="L24" i="1"/>
  <c r="L23" i="1"/>
  <c r="L22" i="1"/>
  <c r="M8" i="1"/>
  <c r="I25" i="1"/>
  <c r="I24" i="1"/>
  <c r="I23" i="1"/>
  <c r="I22" i="1"/>
  <c r="I21" i="1"/>
  <c r="I20" i="1"/>
  <c r="X7" i="5"/>
  <c r="W7" i="5"/>
  <c r="V7" i="5"/>
  <c r="U7" i="5"/>
  <c r="X6" i="5"/>
  <c r="W6" i="5"/>
  <c r="V6" i="5"/>
  <c r="U6" i="5"/>
  <c r="X5" i="5"/>
  <c r="W5" i="5"/>
  <c r="U5" i="5"/>
  <c r="T7" i="5"/>
  <c r="T6" i="5"/>
  <c r="T5" i="5"/>
  <c r="S7" i="5"/>
  <c r="S6" i="5"/>
  <c r="S5" i="5"/>
  <c r="E7" i="7"/>
  <c r="D7" i="7"/>
  <c r="C7" i="7"/>
  <c r="I97" i="5"/>
  <c r="I95" i="5"/>
  <c r="I93" i="5"/>
  <c r="C97" i="5"/>
  <c r="C94" i="5"/>
  <c r="C95" i="5" s="1"/>
  <c r="C102" i="5" s="1"/>
  <c r="I48" i="5"/>
  <c r="I46" i="5"/>
  <c r="C69" i="5"/>
  <c r="C66" i="5"/>
  <c r="C61" i="5"/>
  <c r="G43" i="5"/>
  <c r="C47" i="5"/>
  <c r="C48" i="5" s="1"/>
  <c r="C49" i="5" s="1"/>
  <c r="F43" i="5"/>
  <c r="E43" i="5"/>
  <c r="E42" i="5"/>
  <c r="D16" i="6"/>
  <c r="D14" i="6"/>
  <c r="D13" i="6"/>
  <c r="C31" i="6"/>
  <c r="D11" i="6"/>
  <c r="D10" i="6"/>
  <c r="E10" i="6"/>
  <c r="C29" i="6"/>
  <c r="C28" i="6"/>
  <c r="C27" i="6"/>
  <c r="C24" i="6"/>
  <c r="E6" i="2"/>
  <c r="F6" i="2"/>
  <c r="G6" i="2"/>
  <c r="E8" i="2"/>
  <c r="E9" i="2"/>
  <c r="E7" i="2" s="1"/>
  <c r="F8" i="2" s="1"/>
  <c r="F9" i="2"/>
  <c r="F7" i="2" s="1"/>
  <c r="G8" i="2" s="1"/>
  <c r="G9" i="2"/>
  <c r="G7" i="2" s="1"/>
  <c r="AQ154" i="5"/>
  <c r="AP154" i="5" s="1"/>
  <c r="AQ153" i="5"/>
  <c r="AP153" i="5" s="1"/>
  <c r="AQ152" i="5"/>
  <c r="AP152" i="5" s="1"/>
  <c r="AP123" i="5"/>
  <c r="AQ123" i="5" s="1"/>
  <c r="AP114" i="5"/>
  <c r="AQ114" i="5" s="1"/>
  <c r="C107" i="5"/>
  <c r="D107" i="5" s="1"/>
  <c r="C76" i="5"/>
  <c r="D76" i="5" s="1"/>
  <c r="I65" i="5"/>
  <c r="D37" i="2"/>
  <c r="C37" i="2"/>
  <c r="G33" i="2"/>
  <c r="F33" i="2"/>
  <c r="E33" i="2"/>
  <c r="E44" i="2" s="1"/>
  <c r="D33" i="2"/>
  <c r="C33" i="2"/>
  <c r="D21" i="2"/>
  <c r="C21" i="2"/>
  <c r="F44" i="2"/>
  <c r="G44" i="2"/>
  <c r="G46" i="2"/>
  <c r="F46" i="2"/>
  <c r="E46" i="2"/>
  <c r="D46" i="2"/>
  <c r="D30" i="5"/>
  <c r="G25" i="5"/>
  <c r="F25" i="5"/>
  <c r="G8" i="1"/>
  <c r="G7" i="1"/>
  <c r="B48" i="5"/>
  <c r="G88" i="5"/>
  <c r="E95" i="5" s="1"/>
  <c r="F88" i="5"/>
  <c r="E88" i="5"/>
  <c r="N114" i="5"/>
  <c r="M114" i="5" s="1"/>
  <c r="P114" i="5"/>
  <c r="F19" i="2"/>
  <c r="G19" i="2"/>
  <c r="E19" i="2"/>
  <c r="D25" i="5"/>
  <c r="G41" i="5"/>
  <c r="F41" i="5"/>
  <c r="E41" i="5"/>
  <c r="G2" i="2"/>
  <c r="F2" i="2"/>
  <c r="E2" i="2"/>
  <c r="G18" i="2"/>
  <c r="F18" i="2"/>
  <c r="D2" i="2"/>
  <c r="C2" i="2"/>
  <c r="D5" i="5"/>
  <c r="D4" i="5"/>
  <c r="E7" i="1"/>
  <c r="D21" i="5"/>
  <c r="G17" i="5"/>
  <c r="E17" i="5"/>
  <c r="F17" i="5"/>
  <c r="D17" i="5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D116" i="5"/>
  <c r="D115" i="5" s="1"/>
  <c r="L115" i="5"/>
  <c r="H114" i="5"/>
  <c r="I114" i="5" s="1"/>
  <c r="F114" i="5"/>
  <c r="E114" i="5" s="1"/>
  <c r="B153" i="5" s="1"/>
  <c r="I60" i="5"/>
  <c r="D7" i="5"/>
  <c r="A20" i="3"/>
  <c r="A19" i="3"/>
  <c r="K48" i="1"/>
  <c r="I48" i="1"/>
  <c r="I46" i="1"/>
  <c r="M39" i="1"/>
  <c r="M37" i="1"/>
  <c r="M36" i="1"/>
  <c r="I35" i="1"/>
  <c r="I15" i="1"/>
  <c r="I14" i="1"/>
  <c r="I13" i="1"/>
  <c r="M10" i="1"/>
  <c r="G9" i="1"/>
  <c r="E9" i="1"/>
  <c r="E8" i="1"/>
  <c r="C29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A6" i="2"/>
  <c r="A5" i="2"/>
  <c r="C3" i="2"/>
  <c r="C45" i="2" s="1"/>
  <c r="I96" i="5" l="1"/>
  <c r="I102" i="5"/>
  <c r="C96" i="5"/>
  <c r="I49" i="5"/>
  <c r="I55" i="5"/>
  <c r="I50" i="5"/>
  <c r="C50" i="5"/>
  <c r="C51" i="5" s="1"/>
  <c r="D10" i="5"/>
  <c r="C42" i="5" s="1"/>
  <c r="C89" i="5" s="1"/>
  <c r="G15" i="5"/>
  <c r="H2" i="6"/>
  <c r="F15" i="5"/>
  <c r="G2" i="6"/>
  <c r="E15" i="5"/>
  <c r="F2" i="6"/>
  <c r="D15" i="5"/>
  <c r="E2" i="6"/>
  <c r="D88" i="5"/>
  <c r="D41" i="5"/>
  <c r="B39" i="5"/>
  <c r="G53" i="2"/>
  <c r="G49" i="2"/>
  <c r="F53" i="2"/>
  <c r="F49" i="2"/>
  <c r="E53" i="2"/>
  <c r="E49" i="2"/>
  <c r="C4" i="6"/>
  <c r="C74" i="5"/>
  <c r="D74" i="5" s="1"/>
  <c r="D39" i="2"/>
  <c r="D41" i="2" s="1"/>
  <c r="D42" i="2" s="1"/>
  <c r="E89" i="5" s="1"/>
  <c r="E90" i="5" s="1"/>
  <c r="D44" i="2"/>
  <c r="D49" i="2" s="1"/>
  <c r="D47" i="2"/>
  <c r="D53" i="2"/>
  <c r="C26" i="2"/>
  <c r="E48" i="5"/>
  <c r="B47" i="5"/>
  <c r="G154" i="5"/>
  <c r="B95" i="5"/>
  <c r="B94" i="5"/>
  <c r="H8" i="5"/>
  <c r="B86" i="5"/>
  <c r="Q114" i="5"/>
  <c r="G152" i="5" s="1"/>
  <c r="G39" i="2"/>
  <c r="F39" i="2"/>
  <c r="E39" i="2"/>
  <c r="C12" i="2"/>
  <c r="P154" i="5"/>
  <c r="I9" i="1"/>
  <c r="D12" i="2"/>
  <c r="C4" i="2"/>
  <c r="C13" i="2" s="1"/>
  <c r="E18" i="5"/>
  <c r="D24" i="5"/>
  <c r="D26" i="5" s="1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40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I51" i="5" l="1"/>
  <c r="I53" i="5" s="1"/>
  <c r="I98" i="5"/>
  <c r="I100" i="5" s="1"/>
  <c r="I101" i="5" s="1"/>
  <c r="C98" i="5"/>
  <c r="C100" i="5" s="1"/>
  <c r="C101" i="5" s="1"/>
  <c r="D50" i="2"/>
  <c r="D54" i="2"/>
  <c r="D29" i="5"/>
  <c r="F37" i="5"/>
  <c r="G29" i="5"/>
  <c r="D37" i="5"/>
  <c r="E29" i="5"/>
  <c r="E37" i="5"/>
  <c r="F29" i="5"/>
  <c r="I16" i="1"/>
  <c r="E12" i="2"/>
  <c r="D26" i="2"/>
  <c r="D19" i="5"/>
  <c r="D28" i="5" s="1"/>
  <c r="M11" i="1"/>
  <c r="L13" i="1" l="1"/>
  <c r="B2" i="3"/>
  <c r="M29" i="1"/>
  <c r="D20" i="5"/>
  <c r="D11" i="2"/>
  <c r="D3" i="2"/>
  <c r="C3" i="6" l="1"/>
  <c r="D45" i="2"/>
  <c r="C5" i="6"/>
  <c r="M13" i="1"/>
  <c r="E26" i="2"/>
  <c r="E19" i="5"/>
  <c r="D29" i="2"/>
  <c r="D4" i="2"/>
  <c r="D13" i="2" s="1"/>
  <c r="D4" i="6" l="1"/>
  <c r="D3" i="6"/>
  <c r="I11" i="1"/>
  <c r="I10" i="1"/>
  <c r="E20" i="5"/>
  <c r="G26" i="2"/>
  <c r="G19" i="5"/>
  <c r="F26" i="2"/>
  <c r="F19" i="5"/>
  <c r="H6" i="5" l="1"/>
  <c r="M9" i="1" l="1"/>
  <c r="M3" i="1"/>
  <c r="B13" i="3"/>
  <c r="E3" i="2"/>
  <c r="E11" i="2" l="1"/>
  <c r="E45" i="2"/>
  <c r="M14" i="1"/>
  <c r="I17" i="1"/>
  <c r="F12" i="2"/>
  <c r="L14" i="1" s="1"/>
  <c r="M4" i="1"/>
  <c r="E29" i="2"/>
  <c r="M6" i="1"/>
  <c r="M7" i="1" s="1"/>
  <c r="F29" i="2"/>
  <c r="F3" i="2"/>
  <c r="F45" i="2" s="1"/>
  <c r="E4" i="2"/>
  <c r="E13" i="2" s="1"/>
  <c r="B11" i="3"/>
  <c r="B14" i="3" s="1"/>
  <c r="B15" i="3" s="1"/>
  <c r="B10" i="3" l="1"/>
  <c r="B12" i="3"/>
  <c r="M30" i="1"/>
  <c r="L16" i="1"/>
  <c r="M16" i="1"/>
  <c r="M17" i="1"/>
  <c r="M18" i="1"/>
  <c r="F4" i="2"/>
  <c r="F13" i="2" s="1"/>
  <c r="L20" i="1" s="1"/>
  <c r="F11" i="2"/>
  <c r="L17" i="1" s="1"/>
  <c r="G29" i="2"/>
  <c r="G3" i="2"/>
  <c r="G45" i="2" s="1"/>
  <c r="M15" i="1" l="1"/>
  <c r="I18" i="1"/>
  <c r="B3" i="3"/>
  <c r="B4" i="3" s="1"/>
  <c r="B8" i="3" s="1"/>
  <c r="G12" i="2"/>
  <c r="L15" i="1" s="1"/>
  <c r="G4" i="2"/>
  <c r="G13" i="2" s="1"/>
  <c r="L21" i="1" s="1"/>
  <c r="G11" i="2"/>
  <c r="L18" i="1" s="1"/>
  <c r="M31" i="1"/>
  <c r="M21" i="1"/>
  <c r="L19" i="1"/>
  <c r="M19" i="1"/>
  <c r="M20" i="1"/>
  <c r="F20" i="5" l="1"/>
  <c r="G20" i="5"/>
  <c r="E38" i="2" l="1"/>
  <c r="E30" i="5"/>
  <c r="I29" i="1"/>
  <c r="I30" i="1"/>
  <c r="D31" i="5" s="1"/>
  <c r="E31" i="5" s="1"/>
  <c r="F31" i="5" s="1"/>
  <c r="G31" i="5" s="1"/>
  <c r="G30" i="5"/>
  <c r="F30" i="5"/>
  <c r="F38" i="2" l="1"/>
  <c r="E16" i="2"/>
  <c r="E47" i="2" l="1"/>
  <c r="E37" i="2"/>
  <c r="E41" i="2" s="1"/>
  <c r="E42" i="2" s="1"/>
  <c r="F89" i="5" s="1"/>
  <c r="F90" i="5" s="1"/>
  <c r="G38" i="2"/>
  <c r="G16" i="2" s="1"/>
  <c r="F16" i="2"/>
  <c r="E21" i="5"/>
  <c r="E24" i="2"/>
  <c r="E50" i="2" l="1"/>
  <c r="E54" i="2"/>
  <c r="G47" i="2"/>
  <c r="G37" i="2"/>
  <c r="G41" i="2" s="1"/>
  <c r="G42" i="2" s="1"/>
  <c r="F47" i="2"/>
  <c r="F37" i="2"/>
  <c r="F41" i="2" s="1"/>
  <c r="F42" i="2" s="1"/>
  <c r="G89" i="5" s="1"/>
  <c r="G90" i="5" s="1"/>
  <c r="G24" i="2"/>
  <c r="G21" i="5"/>
  <c r="F24" i="2"/>
  <c r="F21" i="5"/>
  <c r="E24" i="5"/>
  <c r="E26" i="5" s="1"/>
  <c r="E22" i="5"/>
  <c r="E28" i="5"/>
  <c r="F50" i="2" l="1"/>
  <c r="F54" i="2"/>
  <c r="G50" i="2"/>
  <c r="G54" i="2"/>
  <c r="G24" i="5"/>
  <c r="G26" i="5" s="1"/>
  <c r="G22" i="5"/>
  <c r="G28" i="5"/>
  <c r="F24" i="5"/>
  <c r="F26" i="5" s="1"/>
  <c r="F22" i="5"/>
  <c r="F28" i="5"/>
  <c r="G42" i="5" l="1"/>
  <c r="F42" i="5"/>
  <c r="L123" i="5" l="1"/>
  <c r="C106" i="5"/>
  <c r="C108" i="5" s="1"/>
  <c r="M8" i="5" s="1"/>
  <c r="D106" i="5" l="1"/>
  <c r="D108" i="5" s="1"/>
  <c r="N8" i="5" s="1"/>
  <c r="C55" i="5"/>
  <c r="I54" i="5" l="1"/>
  <c r="C53" i="5"/>
  <c r="D73" i="5" l="1"/>
  <c r="C54" i="5"/>
  <c r="C73" i="5"/>
  <c r="D80" i="5" l="1"/>
  <c r="D82" i="5"/>
  <c r="D75" i="5"/>
  <c r="D77" i="5" s="1"/>
  <c r="D81" i="5"/>
  <c r="C75" i="5"/>
  <c r="C77" i="5" s="1"/>
  <c r="C81" i="5"/>
  <c r="L114" i="5" s="1"/>
  <c r="C80" i="5"/>
  <c r="C82" i="5"/>
  <c r="N7" i="5" l="1"/>
  <c r="D123" i="5"/>
  <c r="D114" i="5"/>
  <c r="M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rFont val="Arial"/>
            <family val="2"/>
          </rPr>
          <t>Richard Piotrowski:
Goldman Sachs</t>
        </r>
      </text>
    </comment>
    <comment ref="C9" authorId="0" shapeId="0" xr:uid="{00000000-0006-0000-0000-000002000000}">
      <text>
        <r>
          <rPr>
            <sz val="10"/>
            <rFont val="Arial"/>
            <family val="2"/>
          </rPr>
          <t>Richard Piotrowski:
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tc={D07B79D0-3276-4671-A484-1FFFA856B2D2}</author>
    <author>tc={DA85658D-D7C3-4857-9560-553BF908B8F1}</author>
    <author>tc={E1C6C134-5129-40CF-8DB2-CED24D398E97}</author>
    <author>Matan Feldman</author>
    <author>Wall Street Prep</author>
  </authors>
  <commentList>
    <comment ref="T5" authorId="0" shapeId="0" xr:uid="{D07B79D0-3276-4671-A484-1FFFA856B2D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T6" authorId="1" shapeId="0" xr:uid="{DA85658D-D7C3-4857-9560-553BF908B8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T7" authorId="2" shapeId="0" xr:uid="{E1C6C134-5129-40CF-8DB2-CED24D398E97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<sst xmlns="http://schemas.openxmlformats.org/spreadsheetml/2006/main" count="461" uniqueCount="394">
  <si>
    <t>Hershey Company</t>
  </si>
  <si>
    <t>Share Symbol:</t>
  </si>
  <si>
    <t>HSY</t>
  </si>
  <si>
    <t>Exchange Traded:</t>
  </si>
  <si>
    <t>NYSE</t>
  </si>
  <si>
    <t>FUNDAMENTALS</t>
  </si>
  <si>
    <t>Recent price: (US$)</t>
  </si>
  <si>
    <t>Student:</t>
  </si>
  <si>
    <t>Most Recent Qtr Report</t>
  </si>
  <si>
    <t>2QFY26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</si>
  <si>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</si>
  <si>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</si>
  <si>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</si>
  <si>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</si>
  <si>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</si>
  <si>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</si>
  <si>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</si>
  <si>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</si>
  <si>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</si>
  <si>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</si>
  <si>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</si>
  <si>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</si>
  <si>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</si>
  <si>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</si>
  <si>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</si>
  <si>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</si>
  <si>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</si>
  <si>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</si>
  <si>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</si>
  <si>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</si>
  <si>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</si>
  <si>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</si>
  <si>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</si>
  <si>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</si>
  <si>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</si>
  <si>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</si>
  <si>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</si>
  <si>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1)                                                                                                                  2)                                                                                                                  3)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</si>
  <si>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</si>
  <si>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</si>
  <si>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</si>
  <si>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</si>
  <si>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</si>
  <si>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</si>
  <si>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</si>
  <si>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</si>
  <si>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</si>
  <si>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</si>
  <si>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</si>
  <si>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</si>
  <si>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</si>
  <si>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 xml:space="preserve">1)                                                                                                                  2) 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</si>
  <si>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</si>
  <si>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</si>
  <si>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</si>
  <si>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</si>
  <si>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</si>
  <si>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</si>
  <si>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</si>
  <si>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</si>
  <si>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</si>
  <si>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</si>
  <si>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</si>
  <si>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</si>
  <si>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</si>
  <si>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</si>
  <si>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Key Components of Company Unit Economics:
Unit: Cost/Revenue per customer, per VM, per API call, or AI workload.
Leverage: Economies of scale from massive data centers, efficient resource utilization, and hybrid cloud consistency.
Focus: Driving high growth through AI services and infrastructure.
Productivity &amp; Business Processes:
Unit: Revenue/Cost per seat, per subscriber, per user.
Leverage: High-margin subscription models (SaaS) with recurring revenue, increasing revenue per user.</t>
  </si>
  <si>
    <t xml:space="preserve">1) </t>
  </si>
  <si>
    <t>ROE</t>
  </si>
  <si>
    <t>EV/EBITDA (Fwd 12Months)</t>
  </si>
  <si>
    <t>Mult = ((Pr * SH)+ Debt - Cash) / EBITDA</t>
  </si>
  <si>
    <t xml:space="preserve">2) </t>
  </si>
  <si>
    <t>Avg ROE (3 Yrs)</t>
  </si>
  <si>
    <t>EV/EBITDA (Fwd 24Months)</t>
  </si>
  <si>
    <t>((Mult*EBITDA)+Cash-Debt)/Sh</t>
  </si>
  <si>
    <t xml:space="preserve">3) </t>
  </si>
  <si>
    <t>Asset Turnover</t>
  </si>
  <si>
    <t>EV / FCF (LTM)</t>
  </si>
  <si>
    <t>Mult = EV / FCF</t>
  </si>
  <si>
    <t>Main Risks</t>
  </si>
  <si>
    <t>Avg AT (3 yrs)</t>
  </si>
  <si>
    <t>EV/FCF (Fwd 12Months)</t>
  </si>
  <si>
    <t>Mult = ((Pr*sh)+Debt-Cash)/ FCF</t>
  </si>
  <si>
    <t>Main Peers / Comps</t>
  </si>
  <si>
    <t>Fincl Lev</t>
  </si>
  <si>
    <t>EV/FCF (Fwd 24Months)</t>
  </si>
  <si>
    <t>Pr = ((Mult * FCF)+Cash-Debt) / Sh</t>
  </si>
  <si>
    <t>1)</t>
  </si>
  <si>
    <t>3)</t>
  </si>
  <si>
    <t>Avg Fincl Lev (3 Yrs)</t>
  </si>
  <si>
    <t>2)</t>
  </si>
  <si>
    <t>4)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</si>
  <si>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</si>
  <si>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</si>
  <si>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</si>
  <si>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</si>
  <si>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</si>
  <si>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</si>
  <si>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</si>
  <si>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CAPEX/Oper CF - %</t>
  </si>
  <si>
    <t>(EV/EBITDA) / EBITDA Gr (Fwd 1Yr) - x</t>
  </si>
  <si>
    <t>Avg CAPEX/Oper CF (3 yrs) - %</t>
  </si>
  <si>
    <t>(EV/FCF) / FCF Gr (Fwd 1Yr) - x</t>
  </si>
  <si>
    <t>Share Summary</t>
  </si>
  <si>
    <t>Dividend ($ pSh):</t>
  </si>
  <si>
    <t>Short Interest (M Sh)</t>
  </si>
  <si>
    <t>Divd Yield:</t>
  </si>
  <si>
    <t>Short Interest (Month t-1) - (M Sh)</t>
  </si>
  <si>
    <t>Avg Daily Volumes (M Sh)</t>
  </si>
  <si>
    <t>Short Interest as % of Float - %</t>
  </si>
  <si>
    <t>Shares O/S (Basic) - (M Sh)</t>
  </si>
  <si>
    <t>Days to Cover</t>
  </si>
  <si>
    <t>Shares O/S (Fully Diluted) - (M Sh)</t>
  </si>
  <si>
    <t>Number of Employees</t>
  </si>
  <si>
    <t>Float (M Sh)</t>
  </si>
  <si>
    <t>Rev per Employee - $$</t>
  </si>
  <si>
    <t>Institutional Ownership (%)</t>
  </si>
  <si>
    <t xml:space="preserve">1) top </t>
  </si>
  <si>
    <t xml:space="preserve">2) Share Summary </t>
  </si>
  <si>
    <t>3) Boxes (5 each)</t>
  </si>
  <si>
    <t>4) Pic</t>
  </si>
  <si>
    <t>TOTAL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</si>
  <si>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</si>
  <si>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</si>
  <si>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</si>
  <si>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</si>
  <si>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</si>
  <si>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</si>
  <si>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</si>
  <si>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</si>
  <si>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</si>
  <si>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</si>
  <si>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</si>
  <si>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</si>
  <si>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Interest Expense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</si>
  <si>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</si>
  <si>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</si>
  <si>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</si>
  <si>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</si>
  <si>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</si>
  <si>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</si>
  <si>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</si>
  <si>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</si>
  <si>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</si>
  <si>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</si>
  <si>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</si>
  <si>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</si>
  <si>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</si>
  <si>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</si>
  <si>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</si>
  <si>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</si>
  <si>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</si>
  <si>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</si>
  <si>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</si>
  <si>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</si>
  <si>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</si>
  <si>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</si>
  <si>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EBIT(1-t)+D&amp;A-Capex-change in NWC</t>
  </si>
  <si>
    <t>Free Cash Flow to Equity</t>
  </si>
  <si>
    <t>FCFF - Interest(1-t) + Net Borrowings</t>
  </si>
  <si>
    <t>(Capex+WC needs)/NI - "b"</t>
  </si>
  <si>
    <t>D/MVE ratio</t>
  </si>
  <si>
    <t>ROC</t>
  </si>
  <si>
    <t>g for FCFF</t>
  </si>
  <si>
    <t>g for FCFE</t>
  </si>
  <si>
    <t>Setting g =</t>
  </si>
  <si>
    <t>b using FCFF</t>
  </si>
  <si>
    <t>b using FCFE</t>
  </si>
  <si>
    <t>Discounted Cash Flow Valuation</t>
  </si>
  <si>
    <t>$ and shares in thousands, except for per share data</t>
  </si>
  <si>
    <t>Summary:</t>
  </si>
  <si>
    <t>Relative Valuation</t>
  </si>
  <si>
    <t>Company name</t>
  </si>
  <si>
    <t>Terminal Value Assumption</t>
  </si>
  <si>
    <t>Times</t>
  </si>
  <si>
    <t>Product</t>
  </si>
  <si>
    <t>Adjusted</t>
  </si>
  <si>
    <t>Shares O/S</t>
  </si>
  <si>
    <t>Value Estimate</t>
  </si>
  <si>
    <t>Ticker symbol</t>
  </si>
  <si>
    <t>Perpetual Growth</t>
  </si>
  <si>
    <t>EV/EBITDA Multiple</t>
  </si>
  <si>
    <t>P/E ratio</t>
  </si>
  <si>
    <t>Most recent fiscal year end</t>
  </si>
  <si>
    <t>Discount rate (WACC)</t>
  </si>
  <si>
    <t>End of first fiscal year</t>
  </si>
  <si>
    <t>Share price (Public Co)</t>
  </si>
  <si>
    <t>FCFF</t>
  </si>
  <si>
    <t>EV/Sales</t>
  </si>
  <si>
    <t>Most recent quarter end date</t>
  </si>
  <si>
    <t>Share price date</t>
  </si>
  <si>
    <t>FCFE</t>
  </si>
  <si>
    <t xml:space="preserve">Valuation date </t>
  </si>
  <si>
    <t>Portion of year 1 cash flows in forecast</t>
  </si>
  <si>
    <t>Free cash flow to the firm (FCFF)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</si>
  <si>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</si>
  <si>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</si>
  <si>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</si>
  <si>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</si>
  <si>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</si>
  <si>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</si>
  <si>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</si>
  <si>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</si>
  <si>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</si>
  <si>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</si>
  <si>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</si>
  <si>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</si>
  <si>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</si>
  <si>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</si>
  <si>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</si>
  <si>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Free cash flow to the firm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</si>
  <si>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</si>
  <si>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</si>
  <si>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</si>
  <si>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</si>
  <si>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</si>
  <si>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</si>
  <si>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</si>
  <si>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</si>
  <si>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</si>
  <si>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</si>
  <si>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</si>
  <si>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</si>
  <si>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</si>
  <si>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</si>
  <si>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</si>
  <si>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</si>
  <si>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</si>
  <si>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</si>
  <si>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</si>
  <si>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</si>
  <si>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</si>
  <si>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</si>
  <si>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</si>
  <si>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</si>
  <si>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</si>
  <si>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</si>
  <si>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</si>
  <si>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</si>
  <si>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</si>
  <si>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</si>
  <si>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</si>
  <si>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</si>
  <si>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</si>
  <si>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</si>
  <si>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</si>
  <si>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</si>
  <si>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</si>
  <si>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</si>
  <si>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</si>
  <si>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</si>
  <si>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</si>
  <si>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</si>
  <si>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</si>
  <si>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</si>
  <si>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</si>
  <si>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</si>
  <si>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</si>
  <si>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</si>
  <si>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</si>
  <si>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</si>
  <si>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</si>
  <si>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</si>
  <si>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</si>
  <si>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</si>
  <si>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</si>
  <si>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</si>
  <si>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Free cash flow to equity</t>
  </si>
  <si>
    <t>Terminal value - PE multiple approach</t>
  </si>
  <si>
    <t>Terminal year Earnings</t>
  </si>
  <si>
    <t>PE multiple</t>
  </si>
  <si>
    <t>Total equity value (TEV)</t>
  </si>
  <si>
    <t>Equity Value</t>
  </si>
  <si>
    <t>Implied TV exit PE multiple</t>
  </si>
  <si>
    <t>PE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</si>
  <si>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</si>
  <si>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</si>
  <si>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</si>
  <si>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</si>
  <si>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</si>
  <si>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</si>
  <si>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</si>
  <si>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</si>
  <si>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</si>
  <si>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</si>
  <si>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</si>
  <si>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</si>
  <si>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</si>
  <si>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Dollar Amount</t>
  </si>
  <si>
    <t>Weight</t>
  </si>
  <si>
    <t>Market Value of Equity</t>
  </si>
  <si>
    <t>Book Value of Debt</t>
  </si>
  <si>
    <t>Total Market Value (EV)</t>
  </si>
  <si>
    <t>Cost of Equity:</t>
  </si>
  <si>
    <t>Current values</t>
  </si>
  <si>
    <t>Using Hamada's equation</t>
  </si>
  <si>
    <t>FactSet</t>
  </si>
  <si>
    <t>Regression</t>
  </si>
  <si>
    <t>Rm - Rf (Market Risk Premium)</t>
  </si>
  <si>
    <t>https://pages.stern.nyu.edu/~adamodar/New_Home_Page/datafile/ctryprem.html</t>
  </si>
  <si>
    <t>Rf</t>
  </si>
  <si>
    <t>https://home.treasury.gov/resource-center/data-chart-center/interest-rates/TextView?type=daily_treasury_long_term_rate&amp;field_tdr_date_value=2026</t>
  </si>
  <si>
    <t>Beta</t>
  </si>
  <si>
    <t>Adjust regresssion beta according to the (2/3)*calculated beta + (1/3)*(1)</t>
  </si>
  <si>
    <t>Cost of Equity</t>
  </si>
  <si>
    <t>Cost of Debt</t>
  </si>
  <si>
    <t>https://pages.stern.nyu.edu/~adamodar/New_Home_Page/datafile/ratings.html</t>
  </si>
  <si>
    <t>WACC</t>
  </si>
  <si>
    <t>Hamada's formula</t>
  </si>
  <si>
    <t>Industry beta</t>
  </si>
  <si>
    <t>https://pages.stern.nyu.edu/~adamodar/New_Home_Page/datafile/Betas.html</t>
  </si>
  <si>
    <t>Industry D/S</t>
  </si>
  <si>
    <t>t</t>
  </si>
  <si>
    <t>Unlevered beta</t>
  </si>
  <si>
    <t>Hershey beta</t>
  </si>
  <si>
    <t>Hershey D/S</t>
  </si>
  <si>
    <t>levered beta</t>
  </si>
  <si>
    <t>Interest coverage ratio</t>
  </si>
  <si>
    <t>Company</t>
  </si>
  <si>
    <t>Hershey</t>
  </si>
  <si>
    <t>Mondelez</t>
  </si>
  <si>
    <t>Lindt</t>
  </si>
  <si>
    <t>Tootsie Roll</t>
  </si>
  <si>
    <t>Average</t>
  </si>
  <si>
    <t>The score is calculated based on 9 criteria divided into 3 groups.[1]</t>
  </si>
  <si>
    <t>PE (Curr) =</t>
  </si>
  <si>
    <t>F (26) EPS =</t>
  </si>
  <si>
    <t>1. Return on Assets (1 point if it is positive in the current year, 0 otherwise);</t>
  </si>
  <si>
    <t>F( Price Stock)</t>
  </si>
  <si>
    <t>2. Operating Cash Flow (1 point if it is positive in the current year, 0 otherwise);</t>
  </si>
  <si>
    <t>Gain</t>
  </si>
  <si>
    <t>4. Accruals (1 point if Operating Cash Flow/Total Assets is higher than ROA in the current year, 0 otherwise);</t>
  </si>
  <si>
    <t>Leverage, Liquidity and Source of Funds</t>
  </si>
  <si>
    <t>MC/Rev (Curr)</t>
  </si>
  <si>
    <t>5. Change in Leverage (long-term) ratio (1 point if the ratio is lower this year compared to the previous one, 0 otherwise);</t>
  </si>
  <si>
    <t>MC (Current)</t>
  </si>
  <si>
    <t>6. Change in Current ratio (1 point if it is higher in the current year compared to the previous one, 0 otherwise);</t>
  </si>
  <si>
    <t>E (MC Curr Mult)</t>
  </si>
  <si>
    <t>7. Change in the number of shares (1 point if no new shares were issued during the last year);</t>
  </si>
  <si>
    <t>Operating Efficiency</t>
  </si>
  <si>
    <t>Price</t>
  </si>
  <si>
    <t>8. Change in Gross Margin (1 point if it is higher in the current year compared to the previous one, 0 otherwise);</t>
  </si>
  <si>
    <t>9. Change in Asset Turnover ratio (1 point if it is higher in the current year compared to the previous one, 0 otherwise);</t>
  </si>
  <si>
    <t>The score is calculated based on the data from financial statement of a company. A company gets 1 point for each met criteria. Summing up of all achieved points gives Piotroski F-score (number between 0 and 9).</t>
  </si>
  <si>
    <t>https://www.chicagobooth.edu/~/media/FE874EE65F624AAEBD0166B1974FD74D.pdf</t>
  </si>
  <si>
    <t>Improvements to Piotrowski F-Score</t>
  </si>
  <si>
    <t>https://alphaarchitect.com/2015/05/05/value-investing-research-simple-methods-to-improve-the-piotroski-f-score/</t>
  </si>
  <si>
    <t>https://www.aaii.com/journal/article/simple-methods-to-improve-the-piotroski-f-score?</t>
  </si>
  <si>
    <t>https://www.goldmansachs.com/insights/articles/the-s-and-p-500-is-forecast-to-return-10-percent-in-2025</t>
  </si>
  <si>
    <t>https://www.goldmansachs.com/insights/articles/s-and-p-500-projected-to-rally-more-than-expected</t>
  </si>
  <si>
    <t>GLOSSARY AND INTERPRETATION OF FIGURES</t>
  </si>
  <si>
    <t>Adjusted book value</t>
  </si>
  <si>
    <t>An estimate of the book value of the company, using the sum of capital expenditures for the</t>
  </si>
  <si>
    <t>last 5 years as an estimate for the book value of fixed assets, to determine how new</t>
  </si>
  <si>
    <t>such fixed assets are, and how strong the book value.</t>
  </si>
  <si>
    <t>SHORT INTEREST</t>
  </si>
  <si>
    <t>https://www.nasdaq.com/market-activity/stocks/msft/short-interest</t>
  </si>
  <si>
    <t>NYSE : Short Interest</t>
  </si>
  <si>
    <t>https://www.nyse.com/quote/XNGS:MSFT</t>
  </si>
  <si>
    <t>Institutional Ownership</t>
  </si>
  <si>
    <t>https://www.nasdaq.com/market-activity/stocks/exas/institutional-holdings</t>
  </si>
  <si>
    <t>Definitions</t>
  </si>
  <si>
    <t>Adjusted sales/share</t>
  </si>
  <si>
    <t>Sales per share, where the number of shares is adjusted for shares which could be repurchased</t>
  </si>
  <si>
    <t>with excess current assets, once all outstanding liabilities have been extinguished.</t>
  </si>
  <si>
    <t>Accounts for the leverage of the company (how many shares would need to be issued to retire</t>
  </si>
  <si>
    <t>the debt) or, conversely, for the benefits from high levels of net assets.</t>
  </si>
  <si>
    <t>Especially valuable for inter-company comparisons, or comparison to industry average.</t>
  </si>
  <si>
    <t>Asset value</t>
  </si>
  <si>
    <t>An estimate of the fair value of tangible assets, net of all outstanding liabilities.</t>
  </si>
  <si>
    <t>Fixed assets include accumulated depreciation, to estimate their replacement value.</t>
  </si>
  <si>
    <t>When real estate represents a significant portion of assets, an adjustment may be made</t>
  </si>
  <si>
    <t>to reflect its fair market value rather than book value.</t>
  </si>
  <si>
    <t>An estimate is also made for goodwill, as a % of revenues.</t>
  </si>
  <si>
    <t>Cap.Ex.</t>
  </si>
  <si>
    <t>Capital expenditures relating to fixed asset purchases.</t>
  </si>
  <si>
    <t>CFO</t>
  </si>
  <si>
    <t>Cash flow from operations (including changes in non-cash working capital accounts).</t>
  </si>
  <si>
    <t>Earnings before interest and taxes.</t>
  </si>
  <si>
    <t>EBIT Multiple</t>
  </si>
  <si>
    <t>An estimate of the earnings generation powers of the company's productive assets, plus</t>
  </si>
  <si>
    <t>working capital, and netted of long term debt outstanding.</t>
  </si>
  <si>
    <t>The lower the EBIT multiple, the greater the probability that the stock is undervalued at current</t>
  </si>
  <si>
    <t>market levels.  On average, a multiple greater than 5.0 indicates possible overvaluation.</t>
  </si>
  <si>
    <t>This multiple is also useful for inter-company comparisons, as it accounts for the effect of</t>
  </si>
  <si>
    <t>varying levels of leverage and differing income tax rates.</t>
  </si>
  <si>
    <t>F score</t>
  </si>
  <si>
    <t>A rapid evaluation of financial strength, reflecting the liquidity of the company and its</t>
  </si>
  <si>
    <t>leverage position, also relating the two.</t>
  </si>
  <si>
    <t>The higher, the better.</t>
  </si>
  <si>
    <t>NBP</t>
  </si>
  <si>
    <t>An estimate of the remaining borrowing power of the Company, based on the level of its</t>
  </si>
  <si>
    <t>Net borrowing power</t>
  </si>
  <si>
    <t>short term and gross fixed assets, over and above debt already outstanding.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</si>
</sst>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0.0"/>
    <numFmt numFmtId="173" formatCode="\$#,##0.00_);[Red]&quot;($&quot;#,##0.00\)"/>
    <numFmt numFmtId="174" formatCode="0.00_)"/>
    <numFmt numFmtId="175" formatCode="0.0%_);\(0.0%\);@_)"/>
    <numFmt numFmtId="176" formatCode="#,##0_);\(#,##0\);@_)"/>
    <numFmt numFmtId="177" formatCode="_(#,##0.0%_);\(#,##0.0%\);_(&quot;–&quot;_)_%;_(@_)_%"/>
    <numFmt numFmtId="178" formatCode="m/d/yy;@"/>
    <numFmt numFmtId="179" formatCode="0000\A"/>
    <numFmt numFmtId="180" formatCode="0000\P"/>
    <numFmt numFmtId="181" formatCode="0.0\x_);\(0.0\x\);@_)"/>
    <numFmt numFmtId="182" formatCode="0.000%_);\(0.000%\);@_)"/>
    <numFmt numFmtId="183" formatCode="#,##0.000_);\(#,##0.000\);@_)"/>
    <numFmt numFmtId="184" formatCode="#,##0.000_);\(#,##0.000\)"/>
    <numFmt numFmtId="185" formatCode="#,##0.000"/>
    <numFmt numFmtId="186" formatCode="_([$$]#,##0_)_%;\([$$]#,##0\)_%;_(&quot;–&quot;_)_%;_(@_)_%"/>
    <numFmt numFmtId="187" formatCode="&quot;$&quot;#,##0.00_);\(&quot;$&quot;#,##0.00\);@_)"/>
    <numFmt numFmtId="188" formatCode="_(0.0_)_'_x;_(\(0.0\)_';_(&quot;–&quot;_)_%;_(@_)_%"/>
    <numFmt numFmtId="189" formatCode="_(0.0\x_)_';_(\(0.0\x\)_';_(&quot;–&quot;_)_%;_(@_)_%"/>
    <numFmt numFmtId="190" formatCode="#,##0.00_);\(#,##0.00\);\-_);@_)"/>
    <numFmt numFmtId="191" formatCode="#,##0.0_);\(#,##0.0\);\-_);@_)"/>
    <numFmt numFmtId="192" formatCode="_(#,##0.00%_);\(#,##0.00%\);_(&quot;–&quot;_)_%;_(@_)_%"/>
    <numFmt numFmtId="193" formatCode="0.000"/>
    <numFmt numFmtId="194" formatCode="0.0000"/>
    <numFmt numFmtId="195" formatCode="&quot;$&quot;#,##0_);\(&quot;$&quot;#,##0\);@_)"/>
    <numFmt numFmtId="196" formatCode="_(* #,##0.0_);_(* \(#,##0.0\);_(* &quot;-&quot;??_);_(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charset val="1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u/>
      <sz val="8"/>
      <color theme="10"/>
      <name val="Calibri"/>
      <family val="2"/>
      <charset val="1"/>
    </font>
    <font>
      <b/>
      <i/>
      <sz val="8"/>
      <color rgb="FF202122"/>
      <name val="Calibri"/>
      <family val="2"/>
      <charset val="1"/>
    </font>
    <font>
      <sz val="8"/>
      <color rgb="FF202122"/>
      <name val="Calibri"/>
      <family val="2"/>
      <charset val="1"/>
    </font>
    <font>
      <b/>
      <sz val="11"/>
      <color rgb="FF202122"/>
      <name val="Arial"/>
      <family val="2"/>
      <charset val="1"/>
    </font>
    <font>
      <sz val="14"/>
      <name val="Arial"/>
      <family val="2"/>
      <charset val="1"/>
    </font>
    <font>
      <sz val="10"/>
      <name val="Courier New"/>
      <charset val="1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0">
    <xf numFmtId="164" fontId="0" fillId="0" borderId="0"/>
    <xf numFmtId="43" fontId="29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</cellStyleXfs>
  <cellXfs count="432">
    <xf numFmtId="164" fontId="0" fillId="0" borderId="0" xfId="0"/>
    <xf numFmtId="0" fontId="0" fillId="0" borderId="0" xfId="0" applyNumberFormat="1"/>
    <xf numFmtId="164" fontId="5" fillId="0" borderId="3" xfId="0" applyFont="1" applyBorder="1" applyAlignment="1">
      <alignment horizontal="left" vertical="center"/>
    </xf>
    <xf numFmtId="164" fontId="4" fillId="0" borderId="4" xfId="0" applyFont="1" applyBorder="1" applyAlignment="1">
      <alignment horizontal="center" vertical="center"/>
    </xf>
    <xf numFmtId="164" fontId="6" fillId="2" borderId="5" xfId="0" applyFont="1" applyFill="1" applyBorder="1" applyAlignment="1">
      <alignment horizontal="center" vertical="center"/>
    </xf>
    <xf numFmtId="164" fontId="4" fillId="0" borderId="6" xfId="0" applyFont="1" applyBorder="1" applyAlignment="1">
      <alignment horizontal="center" vertical="center"/>
    </xf>
    <xf numFmtId="164" fontId="5" fillId="0" borderId="7" xfId="0" applyFont="1" applyBorder="1" applyAlignment="1">
      <alignment horizontal="left" vertical="center"/>
    </xf>
    <xf numFmtId="164" fontId="5" fillId="3" borderId="7" xfId="0" applyFont="1" applyFill="1" applyBorder="1" applyAlignment="1">
      <alignment horizontal="left"/>
    </xf>
    <xf numFmtId="165" fontId="8" fillId="0" borderId="6" xfId="0" applyNumberFormat="1" applyFont="1" applyBorder="1" applyAlignment="1">
      <alignment horizontal="center"/>
    </xf>
    <xf numFmtId="165" fontId="8" fillId="2" borderId="8" xfId="0" applyNumberFormat="1" applyFont="1" applyFill="1" applyBorder="1" applyAlignment="1">
      <alignment horizontal="center"/>
    </xf>
    <xf numFmtId="164" fontId="4" fillId="0" borderId="6" xfId="0" applyFont="1" applyBorder="1" applyAlignment="1">
      <alignment vertical="center"/>
    </xf>
    <xf numFmtId="164" fontId="10" fillId="0" borderId="9" xfId="0" applyFont="1" applyBorder="1" applyAlignment="1">
      <alignment vertical="center"/>
    </xf>
    <xf numFmtId="164" fontId="11" fillId="2" borderId="10" xfId="0" applyFont="1" applyFill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4" fontId="5" fillId="3" borderId="11" xfId="0" applyFont="1" applyFill="1" applyBorder="1" applyAlignment="1">
      <alignment horizontal="left"/>
    </xf>
    <xf numFmtId="165" fontId="8" fillId="0" borderId="12" xfId="0" applyNumberFormat="1" applyFont="1" applyBorder="1" applyAlignment="1">
      <alignment horizontal="center"/>
    </xf>
    <xf numFmtId="14" fontId="8" fillId="2" borderId="13" xfId="0" applyNumberFormat="1" applyFont="1" applyFill="1" applyBorder="1" applyAlignment="1">
      <alignment horizontal="center"/>
    </xf>
    <xf numFmtId="164" fontId="4" fillId="0" borderId="0" xfId="0" applyFont="1" applyAlignment="1">
      <alignment vertical="center"/>
    </xf>
    <xf numFmtId="164" fontId="5" fillId="0" borderId="11" xfId="0" applyFont="1" applyBorder="1" applyAlignment="1">
      <alignment horizontal="left" vertical="center"/>
    </xf>
    <xf numFmtId="164" fontId="10" fillId="0" borderId="11" xfId="0" applyFont="1" applyBorder="1" applyAlignment="1">
      <alignment vertical="center"/>
    </xf>
    <xf numFmtId="164" fontId="11" fillId="2" borderId="13" xfId="0" applyFont="1" applyFill="1" applyBorder="1" applyAlignment="1">
      <alignment horizontal="center" vertical="center"/>
    </xf>
    <xf numFmtId="164" fontId="10" fillId="0" borderId="7" xfId="0" applyFont="1" applyBorder="1" applyAlignment="1">
      <alignment vertical="center"/>
    </xf>
    <xf numFmtId="164" fontId="0" fillId="0" borderId="6" xfId="0" applyBorder="1"/>
    <xf numFmtId="166" fontId="11" fillId="0" borderId="8" xfId="0" applyNumberFormat="1" applyFont="1" applyBorder="1" applyAlignment="1">
      <alignment horizontal="center" vertical="center"/>
    </xf>
    <xf numFmtId="164" fontId="12" fillId="0" borderId="7" xfId="0" applyFont="1" applyBorder="1"/>
    <xf numFmtId="164" fontId="12" fillId="0" borderId="6" xfId="0" applyFont="1" applyBorder="1"/>
    <xf numFmtId="38" fontId="13" fillId="4" borderId="2" xfId="0" applyNumberFormat="1" applyFont="1" applyFill="1" applyBorder="1" applyAlignment="1">
      <alignment horizontal="center"/>
    </xf>
    <xf numFmtId="164" fontId="13" fillId="4" borderId="3" xfId="0" applyFont="1" applyFill="1" applyBorder="1" applyAlignment="1">
      <alignment horizontal="center"/>
    </xf>
    <xf numFmtId="38" fontId="13" fillId="4" borderId="4" xfId="0" applyNumberFormat="1" applyFont="1" applyFill="1" applyBorder="1" applyAlignment="1">
      <alignment horizontal="center"/>
    </xf>
    <xf numFmtId="164" fontId="13" fillId="4" borderId="5" xfId="0" applyFont="1" applyFill="1" applyBorder="1" applyAlignment="1">
      <alignment horizontal="center"/>
    </xf>
    <xf numFmtId="164" fontId="13" fillId="0" borderId="9" xfId="0" applyFont="1" applyBorder="1" applyAlignment="1">
      <alignment horizontal="center"/>
    </xf>
    <xf numFmtId="164" fontId="13" fillId="0" borderId="0" xfId="0" applyFont="1" applyAlignment="1">
      <alignment horizontal="center"/>
    </xf>
    <xf numFmtId="40" fontId="15" fillId="5" borderId="10" xfId="0" applyNumberFormat="1" applyFont="1" applyFill="1" applyBorder="1" applyAlignment="1">
      <alignment horizontal="center"/>
    </xf>
    <xf numFmtId="167" fontId="16" fillId="0" borderId="7" xfId="0" applyNumberFormat="1" applyFont="1" applyBorder="1" applyAlignment="1">
      <alignment horizontal="center"/>
    </xf>
    <xf numFmtId="164" fontId="0" fillId="0" borderId="8" xfId="0" applyBorder="1"/>
    <xf numFmtId="164" fontId="12" fillId="0" borderId="9" xfId="0" applyFont="1" applyBorder="1" applyAlignment="1">
      <alignment vertical="center" wrapText="1"/>
    </xf>
    <xf numFmtId="9" fontId="12" fillId="0" borderId="10" xfId="0" applyNumberFormat="1" applyFont="1" applyBorder="1" applyAlignment="1">
      <alignment horizontal="center" vertical="top" wrapText="1"/>
    </xf>
    <xf numFmtId="164" fontId="12" fillId="0" borderId="0" xfId="0" applyFont="1" applyAlignment="1">
      <alignment vertical="top" wrapText="1"/>
    </xf>
    <xf numFmtId="168" fontId="12" fillId="0" borderId="10" xfId="0" applyNumberFormat="1" applyFont="1" applyBorder="1" applyAlignment="1">
      <alignment horizontal="center" vertical="top" wrapText="1"/>
    </xf>
    <xf numFmtId="40" fontId="15" fillId="2" borderId="10" xfId="0" applyNumberFormat="1" applyFont="1" applyFill="1" applyBorder="1" applyAlignment="1">
      <alignment horizontal="center"/>
    </xf>
    <xf numFmtId="167" fontId="16" fillId="0" borderId="9" xfId="0" applyNumberFormat="1" applyFont="1" applyBorder="1" applyAlignment="1">
      <alignment horizontal="center"/>
    </xf>
    <xf numFmtId="40" fontId="15" fillId="0" borderId="0" xfId="0" applyNumberFormat="1" applyFont="1" applyAlignment="1">
      <alignment horizontal="center"/>
    </xf>
    <xf numFmtId="169" fontId="15" fillId="6" borderId="10" xfId="0" applyNumberFormat="1" applyFont="1" applyFill="1" applyBorder="1" applyAlignment="1">
      <alignment horizontal="center"/>
    </xf>
    <xf numFmtId="170" fontId="12" fillId="0" borderId="10" xfId="0" applyNumberFormat="1" applyFont="1" applyBorder="1" applyAlignment="1">
      <alignment horizontal="center" vertical="top" wrapText="1"/>
    </xf>
    <xf numFmtId="169" fontId="15" fillId="0" borderId="10" xfId="0" applyNumberFormat="1" applyFont="1" applyBorder="1" applyAlignment="1">
      <alignment horizontal="center"/>
    </xf>
    <xf numFmtId="164" fontId="13" fillId="0" borderId="11" xfId="0" applyFont="1" applyBorder="1" applyAlignment="1">
      <alignment horizontal="center"/>
    </xf>
    <xf numFmtId="164" fontId="15" fillId="0" borderId="12" xfId="0" applyFont="1" applyBorder="1" applyAlignment="1">
      <alignment horizontal="center"/>
    </xf>
    <xf numFmtId="40" fontId="15" fillId="5" borderId="13" xfId="0" applyNumberFormat="1" applyFont="1" applyFill="1" applyBorder="1" applyAlignment="1">
      <alignment horizontal="center"/>
    </xf>
    <xf numFmtId="167" fontId="16" fillId="0" borderId="11" xfId="0" applyNumberFormat="1" applyFont="1" applyBorder="1" applyAlignment="1">
      <alignment horizontal="center"/>
    </xf>
    <xf numFmtId="40" fontId="15" fillId="0" borderId="12" xfId="0" applyNumberFormat="1" applyFont="1" applyBorder="1" applyAlignment="1">
      <alignment horizontal="center"/>
    </xf>
    <xf numFmtId="169" fontId="15" fillId="0" borderId="13" xfId="0" applyNumberFormat="1" applyFont="1" applyBorder="1" applyAlignment="1">
      <alignment horizontal="center"/>
    </xf>
    <xf numFmtId="164" fontId="12" fillId="0" borderId="11" xfId="0" applyFont="1" applyBorder="1" applyAlignment="1">
      <alignment vertical="center" wrapText="1"/>
    </xf>
    <xf numFmtId="9" fontId="12" fillId="0" borderId="13" xfId="0" applyNumberFormat="1" applyFont="1" applyBorder="1" applyAlignment="1">
      <alignment horizontal="center" vertical="top" wrapText="1"/>
    </xf>
    <xf numFmtId="164" fontId="12" fillId="0" borderId="12" xfId="0" applyFont="1" applyBorder="1" applyAlignment="1">
      <alignment vertical="top" wrapText="1"/>
    </xf>
    <xf numFmtId="167" fontId="12" fillId="0" borderId="13" xfId="0" applyNumberFormat="1" applyFont="1" applyBorder="1" applyAlignment="1">
      <alignment horizontal="center" vertical="top" wrapText="1"/>
    </xf>
    <xf numFmtId="164" fontId="14" fillId="5" borderId="3" xfId="0" applyFont="1" applyFill="1" applyBorder="1" applyAlignment="1">
      <alignment horizontal="center" vertical="center"/>
    </xf>
    <xf numFmtId="164" fontId="14" fillId="5" borderId="4" xfId="0" applyFont="1" applyFill="1" applyBorder="1" applyAlignment="1">
      <alignment horizontal="center" vertical="center"/>
    </xf>
    <xf numFmtId="164" fontId="14" fillId="5" borderId="5" xfId="0" applyFont="1" applyFill="1" applyBorder="1" applyAlignment="1">
      <alignment horizontal="center" vertical="center"/>
    </xf>
    <xf numFmtId="164" fontId="12" fillId="0" borderId="9" xfId="0" applyFont="1" applyBorder="1" applyAlignment="1">
      <alignment vertical="center"/>
    </xf>
    <xf numFmtId="167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vertical="center"/>
    </xf>
    <xf numFmtId="169" fontId="12" fillId="7" borderId="8" xfId="0" applyNumberFormat="1" applyFont="1" applyFill="1" applyBorder="1" applyAlignment="1">
      <alignment horizontal="center" vertical="center" wrapText="1"/>
    </xf>
    <xf numFmtId="168" fontId="12" fillId="7" borderId="1" xfId="0" applyNumberFormat="1" applyFont="1" applyFill="1" applyBorder="1" applyAlignment="1">
      <alignment horizontal="center" vertical="center"/>
    </xf>
    <xf numFmtId="169" fontId="12" fillId="0" borderId="10" xfId="0" applyNumberFormat="1" applyFont="1" applyBorder="1" applyAlignment="1">
      <alignment horizontal="center" vertical="center" wrapText="1"/>
    </xf>
    <xf numFmtId="168" fontId="12" fillId="7" borderId="14" xfId="0" applyNumberFormat="1" applyFont="1" applyFill="1" applyBorder="1" applyAlignment="1">
      <alignment horizontal="center" vertical="center"/>
    </xf>
    <xf numFmtId="164" fontId="12" fillId="0" borderId="11" xfId="0" applyFont="1" applyBorder="1" applyAlignment="1">
      <alignment vertical="center"/>
    </xf>
    <xf numFmtId="169" fontId="12" fillId="0" borderId="13" xfId="0" applyNumberFormat="1" applyFont="1" applyBorder="1" applyAlignment="1">
      <alignment horizontal="center" vertical="center" wrapText="1"/>
    </xf>
    <xf numFmtId="168" fontId="12" fillId="7" borderId="15" xfId="0" applyNumberFormat="1" applyFont="1" applyFill="1" applyBorder="1" applyAlignment="1">
      <alignment horizontal="center" vertical="center"/>
    </xf>
    <xf numFmtId="169" fontId="12" fillId="0" borderId="8" xfId="0" applyNumberFormat="1" applyFont="1" applyBorder="1" applyAlignment="1">
      <alignment horizontal="center" vertical="center" wrapText="1"/>
    </xf>
    <xf numFmtId="164" fontId="11" fillId="0" borderId="7" xfId="0" applyFont="1" applyBorder="1"/>
    <xf numFmtId="164" fontId="11" fillId="0" borderId="6" xfId="0" applyFont="1" applyBorder="1"/>
    <xf numFmtId="164" fontId="11" fillId="0" borderId="8" xfId="0" applyFont="1" applyBorder="1"/>
    <xf numFmtId="164" fontId="11" fillId="0" borderId="0" xfId="0" applyFont="1"/>
    <xf numFmtId="164" fontId="11" fillId="0" borderId="9" xfId="0" applyFont="1" applyBorder="1"/>
    <xf numFmtId="164" fontId="11" fillId="0" borderId="10" xfId="0" applyFont="1" applyBorder="1"/>
    <xf numFmtId="167" fontId="12" fillId="0" borderId="8" xfId="0" applyNumberFormat="1" applyFont="1" applyBorder="1" applyAlignment="1">
      <alignment horizontal="center" vertical="top" wrapText="1"/>
    </xf>
    <xf numFmtId="164" fontId="11" fillId="0" borderId="11" xfId="0" applyFont="1" applyBorder="1"/>
    <xf numFmtId="164" fontId="11" fillId="0" borderId="12" xfId="0" applyFont="1" applyBorder="1"/>
    <xf numFmtId="164" fontId="11" fillId="0" borderId="13" xfId="0" applyFont="1" applyBorder="1"/>
    <xf numFmtId="164" fontId="15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4" fillId="2" borderId="0" xfId="0" applyFont="1" applyFill="1" applyAlignment="1">
      <alignment vertical="center"/>
    </xf>
    <xf numFmtId="164" fontId="0" fillId="2" borderId="10" xfId="0" applyFill="1" applyBorder="1"/>
    <xf numFmtId="164" fontId="12" fillId="0" borderId="6" xfId="0" applyFont="1" applyBorder="1" applyAlignment="1">
      <alignment vertical="top" wrapText="1"/>
    </xf>
    <xf numFmtId="169" fontId="12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2" fillId="0" borderId="10" xfId="0" applyNumberFormat="1" applyFont="1" applyBorder="1" applyAlignment="1">
      <alignment horizontal="center" vertical="top" wrapText="1"/>
    </xf>
    <xf numFmtId="164" fontId="12" fillId="0" borderId="7" xfId="0" applyFont="1" applyBorder="1" applyAlignment="1">
      <alignment horizontal="left" vertical="center"/>
    </xf>
    <xf numFmtId="165" fontId="12" fillId="2" borderId="8" xfId="0" applyNumberFormat="1" applyFont="1" applyFill="1" applyBorder="1" applyAlignment="1">
      <alignment horizontal="center" vertical="center"/>
    </xf>
    <xf numFmtId="171" fontId="12" fillId="2" borderId="8" xfId="0" applyNumberFormat="1" applyFont="1" applyFill="1" applyBorder="1" applyAlignment="1">
      <alignment horizontal="center" vertical="center"/>
    </xf>
    <xf numFmtId="164" fontId="12" fillId="0" borderId="9" xfId="0" applyFont="1" applyBorder="1" applyAlignment="1">
      <alignment horizontal="left" vertical="center"/>
    </xf>
    <xf numFmtId="10" fontId="12" fillId="0" borderId="10" xfId="0" applyNumberFormat="1" applyFont="1" applyBorder="1" applyAlignment="1">
      <alignment horizontal="center" vertical="center"/>
    </xf>
    <xf numFmtId="164" fontId="12" fillId="0" borderId="0" xfId="0" applyFont="1"/>
    <xf numFmtId="171" fontId="12" fillId="2" borderId="10" xfId="0" applyNumberFormat="1" applyFont="1" applyFill="1" applyBorder="1" applyAlignment="1">
      <alignment horizontal="center" vertical="center"/>
    </xf>
    <xf numFmtId="172" fontId="12" fillId="2" borderId="10" xfId="0" applyNumberFormat="1" applyFont="1" applyFill="1" applyBorder="1" applyAlignment="1">
      <alignment horizontal="center" vertical="center"/>
    </xf>
    <xf numFmtId="167" fontId="12" fillId="2" borderId="10" xfId="0" applyNumberFormat="1" applyFont="1" applyFill="1" applyBorder="1" applyAlignment="1">
      <alignment horizontal="center" vertical="center"/>
    </xf>
    <xf numFmtId="38" fontId="12" fillId="2" borderId="10" xfId="0" applyNumberFormat="1" applyFont="1" applyFill="1" applyBorder="1" applyAlignment="1">
      <alignment horizontal="center"/>
    </xf>
    <xf numFmtId="171" fontId="12" fillId="0" borderId="10" xfId="0" applyNumberFormat="1" applyFont="1" applyBorder="1" applyAlignment="1">
      <alignment horizontal="center" vertical="center"/>
    </xf>
    <xf numFmtId="164" fontId="12" fillId="0" borderId="9" xfId="0" applyFont="1" applyBorder="1"/>
    <xf numFmtId="166" fontId="12" fillId="0" borderId="10" xfId="0" applyNumberFormat="1" applyFont="1" applyBorder="1" applyAlignment="1">
      <alignment horizontal="center"/>
    </xf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7" fontId="12" fillId="0" borderId="13" xfId="0" applyNumberFormat="1" applyFont="1" applyBorder="1" applyAlignment="1">
      <alignment horizontal="center" vertical="center" wrapText="1"/>
    </xf>
    <xf numFmtId="164" fontId="12" fillId="0" borderId="11" xfId="0" applyFont="1" applyBorder="1"/>
    <xf numFmtId="164" fontId="12" fillId="0" borderId="12" xfId="0" applyFont="1" applyBorder="1"/>
    <xf numFmtId="164" fontId="12" fillId="0" borderId="13" xfId="0" applyFont="1" applyBorder="1"/>
    <xf numFmtId="167" fontId="12" fillId="0" borderId="10" xfId="0" applyNumberFormat="1" applyFont="1" applyBorder="1" applyAlignment="1">
      <alignment horizontal="center"/>
    </xf>
    <xf numFmtId="164" fontId="20" fillId="0" borderId="6" xfId="0" applyFont="1" applyBorder="1" applyAlignment="1">
      <alignment horizontal="center"/>
    </xf>
    <xf numFmtId="164" fontId="8" fillId="5" borderId="12" xfId="0" applyFont="1" applyFill="1" applyBorder="1" applyAlignment="1">
      <alignment horizontal="center"/>
    </xf>
    <xf numFmtId="164" fontId="21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3" fillId="0" borderId="7" xfId="0" applyFont="1" applyBorder="1"/>
    <xf numFmtId="164" fontId="13" fillId="0" borderId="6" xfId="0" applyFont="1" applyBorder="1"/>
    <xf numFmtId="168" fontId="19" fillId="8" borderId="6" xfId="0" applyNumberFormat="1" applyFont="1" applyFill="1" applyBorder="1" applyAlignment="1">
      <alignment horizontal="center"/>
    </xf>
    <xf numFmtId="168" fontId="20" fillId="8" borderId="6" xfId="0" applyNumberFormat="1" applyFont="1" applyFill="1" applyBorder="1" applyAlignment="1">
      <alignment horizontal="center"/>
    </xf>
    <xf numFmtId="168" fontId="20" fillId="8" borderId="8" xfId="0" applyNumberFormat="1" applyFont="1" applyFill="1" applyBorder="1" applyAlignment="1">
      <alignment horizontal="center"/>
    </xf>
    <xf numFmtId="164" fontId="20" fillId="0" borderId="9" xfId="0" applyFont="1" applyBorder="1"/>
    <xf numFmtId="164" fontId="20" fillId="0" borderId="0" xfId="0" applyFont="1"/>
    <xf numFmtId="168" fontId="19" fillId="8" borderId="0" xfId="0" applyNumberFormat="1" applyFont="1" applyFill="1" applyAlignment="1">
      <alignment horizontal="center"/>
    </xf>
    <xf numFmtId="168" fontId="19" fillId="8" borderId="10" xfId="0" applyNumberFormat="1" applyFont="1" applyFill="1" applyBorder="1" applyAlignment="1">
      <alignment horizontal="center"/>
    </xf>
    <xf numFmtId="164" fontId="20" fillId="0" borderId="9" xfId="0" applyFont="1" applyBorder="1" applyAlignment="1">
      <alignment horizontal="left"/>
    </xf>
    <xf numFmtId="164" fontId="20" fillId="0" borderId="0" xfId="0" applyFont="1" applyAlignment="1">
      <alignment horizontal="center"/>
    </xf>
    <xf numFmtId="166" fontId="20" fillId="2" borderId="0" xfId="0" applyNumberFormat="1" applyFont="1" applyFill="1" applyAlignment="1">
      <alignment horizontal="center"/>
    </xf>
    <xf numFmtId="166" fontId="20" fillId="8" borderId="0" xfId="0" applyNumberFormat="1" applyFont="1" applyFill="1" applyAlignment="1">
      <alignment horizontal="center"/>
    </xf>
    <xf numFmtId="166" fontId="20" fillId="2" borderId="10" xfId="0" applyNumberFormat="1" applyFont="1" applyFill="1" applyBorder="1" applyAlignment="1">
      <alignment horizontal="center"/>
    </xf>
    <xf numFmtId="166" fontId="12" fillId="0" borderId="0" xfId="0" applyNumberFormat="1" applyFont="1" applyAlignment="1">
      <alignment horizontal="center"/>
    </xf>
    <xf numFmtId="166" fontId="20" fillId="8" borderId="10" xfId="0" applyNumberFormat="1" applyFont="1" applyFill="1" applyBorder="1" applyAlignment="1">
      <alignment horizontal="center"/>
    </xf>
    <xf numFmtId="173" fontId="20" fillId="2" borderId="0" xfId="0" applyNumberFormat="1" applyFont="1" applyFill="1" applyAlignment="1">
      <alignment horizontal="center"/>
    </xf>
    <xf numFmtId="173" fontId="20" fillId="8" borderId="0" xfId="0" applyNumberFormat="1" applyFont="1" applyFill="1" applyAlignment="1">
      <alignment horizontal="center"/>
    </xf>
    <xf numFmtId="164" fontId="19" fillId="0" borderId="11" xfId="0" applyFont="1" applyBorder="1" applyAlignment="1">
      <alignment horizontal="left"/>
    </xf>
    <xf numFmtId="164" fontId="19" fillId="0" borderId="12" xfId="0" applyFont="1" applyBorder="1" applyAlignment="1">
      <alignment horizontal="left"/>
    </xf>
    <xf numFmtId="171" fontId="19" fillId="2" borderId="12" xfId="0" applyNumberFormat="1" applyFont="1" applyFill="1" applyBorder="1" applyAlignment="1">
      <alignment horizontal="center"/>
    </xf>
    <xf numFmtId="171" fontId="19" fillId="8" borderId="12" xfId="0" applyNumberFormat="1" applyFont="1" applyFill="1" applyBorder="1" applyAlignment="1">
      <alignment horizontal="center"/>
    </xf>
    <xf numFmtId="171" fontId="20" fillId="8" borderId="12" xfId="0" applyNumberFormat="1" applyFont="1" applyFill="1" applyBorder="1" applyAlignment="1">
      <alignment horizontal="center"/>
    </xf>
    <xf numFmtId="171" fontId="19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center"/>
    </xf>
    <xf numFmtId="164" fontId="13" fillId="5" borderId="4" xfId="0" applyFont="1" applyFill="1" applyBorder="1" applyAlignment="1">
      <alignment horizontal="center"/>
    </xf>
    <xf numFmtId="164" fontId="13" fillId="4" borderId="4" xfId="0" applyFont="1" applyFill="1" applyBorder="1" applyAlignment="1">
      <alignment horizontal="center"/>
    </xf>
    <xf numFmtId="164" fontId="19" fillId="0" borderId="7" xfId="0" applyFont="1" applyBorder="1" applyAlignment="1">
      <alignment horizontal="left"/>
    </xf>
    <xf numFmtId="164" fontId="19" fillId="0" borderId="6" xfId="0" applyFont="1" applyBorder="1" applyAlignment="1">
      <alignment horizontal="left"/>
    </xf>
    <xf numFmtId="169" fontId="19" fillId="9" borderId="6" xfId="0" applyNumberFormat="1" applyFont="1" applyFill="1" applyBorder="1" applyAlignment="1">
      <alignment horizontal="center"/>
    </xf>
    <xf numFmtId="164" fontId="19" fillId="0" borderId="9" xfId="0" applyFont="1" applyBorder="1" applyAlignment="1">
      <alignment horizontal="left"/>
    </xf>
    <xf numFmtId="164" fontId="19" fillId="0" borderId="0" xfId="0" applyFont="1" applyAlignment="1">
      <alignment horizontal="left"/>
    </xf>
    <xf numFmtId="169" fontId="19" fillId="9" borderId="0" xfId="0" applyNumberFormat="1" applyFont="1" applyFill="1" applyAlignment="1">
      <alignment horizontal="center"/>
    </xf>
    <xf numFmtId="169" fontId="19" fillId="9" borderId="10" xfId="0" applyNumberFormat="1" applyFont="1" applyFill="1" applyBorder="1" applyAlignment="1">
      <alignment horizontal="center"/>
    </xf>
    <xf numFmtId="164" fontId="19" fillId="0" borderId="9" xfId="0" applyFont="1" applyBorder="1"/>
    <xf numFmtId="164" fontId="19" fillId="0" borderId="0" xfId="0" applyFont="1"/>
    <xf numFmtId="164" fontId="13" fillId="5" borderId="3" xfId="0" applyFont="1" applyFill="1" applyBorder="1"/>
    <xf numFmtId="164" fontId="13" fillId="5" borderId="4" xfId="0" applyFont="1" applyFill="1" applyBorder="1"/>
    <xf numFmtId="164" fontId="13" fillId="5" borderId="5" xfId="0" applyFont="1" applyFill="1" applyBorder="1" applyAlignment="1">
      <alignment horizontal="center"/>
    </xf>
    <xf numFmtId="166" fontId="19" fillId="2" borderId="6" xfId="0" applyNumberFormat="1" applyFont="1" applyFill="1" applyBorder="1" applyAlignment="1">
      <alignment horizontal="center"/>
    </xf>
    <xf numFmtId="164" fontId="20" fillId="0" borderId="0" xfId="0" applyFont="1" applyAlignment="1">
      <alignment horizontal="left"/>
    </xf>
    <xf numFmtId="166" fontId="19" fillId="2" borderId="0" xfId="0" applyNumberFormat="1" applyFont="1" applyFill="1" applyAlignment="1">
      <alignment horizontal="center"/>
    </xf>
    <xf numFmtId="166" fontId="19" fillId="8" borderId="0" xfId="0" applyNumberFormat="1" applyFont="1" applyFill="1" applyAlignment="1">
      <alignment horizontal="center"/>
    </xf>
    <xf numFmtId="166" fontId="19" fillId="8" borderId="10" xfId="0" applyNumberFormat="1" applyFont="1" applyFill="1" applyBorder="1" applyAlignment="1">
      <alignment horizontal="center"/>
    </xf>
    <xf numFmtId="164" fontId="20" fillId="0" borderId="11" xfId="0" applyFont="1" applyBorder="1"/>
    <xf numFmtId="164" fontId="22" fillId="0" borderId="12" xfId="0" applyFont="1" applyBorder="1"/>
    <xf numFmtId="167" fontId="23" fillId="8" borderId="6" xfId="0" applyNumberFormat="1" applyFont="1" applyFill="1" applyBorder="1" applyAlignment="1">
      <alignment horizontal="center"/>
    </xf>
    <xf numFmtId="167" fontId="23" fillId="8" borderId="8" xfId="0" applyNumberFormat="1" applyFont="1" applyFill="1" applyBorder="1" applyAlignment="1">
      <alignment horizontal="center"/>
    </xf>
    <xf numFmtId="167" fontId="23" fillId="8" borderId="0" xfId="0" applyNumberFormat="1" applyFont="1" applyFill="1" applyAlignment="1">
      <alignment horizontal="center"/>
    </xf>
    <xf numFmtId="167" fontId="23" fillId="8" borderId="10" xfId="0" applyNumberFormat="1" applyFont="1" applyFill="1" applyBorder="1" applyAlignment="1">
      <alignment horizontal="center"/>
    </xf>
    <xf numFmtId="164" fontId="19" fillId="0" borderId="11" xfId="0" applyFont="1" applyBorder="1"/>
    <xf numFmtId="164" fontId="19" fillId="0" borderId="12" xfId="0" applyFont="1" applyBorder="1"/>
    <xf numFmtId="167" fontId="23" fillId="8" borderId="12" xfId="0" applyNumberFormat="1" applyFont="1" applyFill="1" applyBorder="1" applyAlignment="1">
      <alignment horizontal="center"/>
    </xf>
    <xf numFmtId="167" fontId="23" fillId="8" borderId="13" xfId="0" applyNumberFormat="1" applyFont="1" applyFill="1" applyBorder="1" applyAlignment="1">
      <alignment horizontal="center"/>
    </xf>
    <xf numFmtId="164" fontId="13" fillId="5" borderId="3" xfId="0" applyFont="1" applyFill="1" applyBorder="1" applyAlignment="1">
      <alignment horizontal="left"/>
    </xf>
    <xf numFmtId="164" fontId="13" fillId="5" borderId="4" xfId="0" applyFont="1" applyFill="1" applyBorder="1" applyAlignment="1">
      <alignment horizontal="left"/>
    </xf>
    <xf numFmtId="173" fontId="19" fillId="8" borderId="0" xfId="0" applyNumberFormat="1" applyFont="1" applyFill="1" applyAlignment="1">
      <alignment horizontal="center"/>
    </xf>
    <xf numFmtId="173" fontId="19" fillId="8" borderId="10" xfId="0" applyNumberFormat="1" applyFont="1" applyFill="1" applyBorder="1" applyAlignment="1">
      <alignment horizontal="center"/>
    </xf>
    <xf numFmtId="164" fontId="12" fillId="0" borderId="0" xfId="0" applyFont="1" applyAlignment="1">
      <alignment horizontal="center"/>
    </xf>
    <xf numFmtId="166" fontId="19" fillId="2" borderId="12" xfId="0" applyNumberFormat="1" applyFont="1" applyFill="1" applyBorder="1" applyAlignment="1">
      <alignment horizontal="center"/>
    </xf>
    <xf numFmtId="9" fontId="19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73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8" fontId="12" fillId="0" borderId="0" xfId="0" applyNumberFormat="1" applyFont="1"/>
    <xf numFmtId="164" fontId="24" fillId="0" borderId="0" xfId="0" applyFont="1" applyAlignment="1">
      <alignment vertical="center"/>
    </xf>
    <xf numFmtId="169" fontId="12" fillId="0" borderId="0" xfId="0" applyNumberFormat="1" applyFont="1" applyAlignment="1">
      <alignment horizontal="center"/>
    </xf>
    <xf numFmtId="164" fontId="25" fillId="0" borderId="0" xfId="0" applyFont="1" applyAlignment="1">
      <alignment vertical="center"/>
    </xf>
    <xf numFmtId="173" fontId="12" fillId="0" borderId="0" xfId="0" applyNumberFormat="1" applyFont="1" applyAlignment="1">
      <alignment horizontal="center"/>
    </xf>
    <xf numFmtId="164" fontId="26" fillId="0" borderId="0" xfId="0" applyFont="1" applyAlignment="1">
      <alignment vertical="center"/>
    </xf>
    <xf numFmtId="38" fontId="12" fillId="0" borderId="0" xfId="0" applyNumberFormat="1" applyFont="1" applyAlignment="1">
      <alignment horizontal="center"/>
    </xf>
    <xf numFmtId="164" fontId="27" fillId="0" borderId="0" xfId="0" applyFont="1"/>
    <xf numFmtId="164" fontId="9" fillId="0" borderId="0" xfId="0" applyFont="1"/>
    <xf numFmtId="164" fontId="12" fillId="0" borderId="0" xfId="0" applyFont="1" applyAlignment="1">
      <alignment horizontal="left"/>
    </xf>
    <xf numFmtId="173" fontId="12" fillId="0" borderId="0" xfId="0" applyNumberFormat="1" applyFont="1"/>
    <xf numFmtId="164" fontId="28" fillId="0" borderId="0" xfId="0" applyFont="1" applyAlignment="1">
      <alignment horizontal="center" vertical="center"/>
    </xf>
    <xf numFmtId="174" fontId="19" fillId="0" borderId="0" xfId="0" applyNumberFormat="1" applyFont="1"/>
    <xf numFmtId="0" fontId="3" fillId="0" borderId="0" xfId="2"/>
    <xf numFmtId="0" fontId="30" fillId="0" borderId="16" xfId="2" applyFont="1" applyBorder="1"/>
    <xf numFmtId="0" fontId="3" fillId="0" borderId="16" xfId="2" applyBorder="1"/>
    <xf numFmtId="0" fontId="31" fillId="0" borderId="17" xfId="2" applyFont="1" applyBorder="1"/>
    <xf numFmtId="14" fontId="32" fillId="0" borderId="0" xfId="2" applyNumberFormat="1" applyFont="1"/>
    <xf numFmtId="175" fontId="33" fillId="0" borderId="0" xfId="2" applyNumberFormat="1" applyFont="1"/>
    <xf numFmtId="14" fontId="34" fillId="0" borderId="0" xfId="2" applyNumberFormat="1" applyFont="1"/>
    <xf numFmtId="7" fontId="32" fillId="0" borderId="0" xfId="2" applyNumberFormat="1" applyFont="1"/>
    <xf numFmtId="14" fontId="32" fillId="0" borderId="0" xfId="2" applyNumberFormat="1" applyFont="1" applyAlignment="1">
      <alignment horizontal="right"/>
    </xf>
    <xf numFmtId="0" fontId="35" fillId="0" borderId="0" xfId="3" applyBorder="1"/>
    <xf numFmtId="177" fontId="34" fillId="0" borderId="0" xfId="2" applyNumberFormat="1" applyFont="1"/>
    <xf numFmtId="7" fontId="33" fillId="0" borderId="0" xfId="2" applyNumberFormat="1" applyFont="1" applyAlignment="1">
      <alignment horizontal="right"/>
    </xf>
    <xf numFmtId="0" fontId="30" fillId="0" borderId="18" xfId="2" applyFont="1" applyBorder="1"/>
    <xf numFmtId="0" fontId="3" fillId="0" borderId="18" xfId="2" applyBorder="1"/>
    <xf numFmtId="0" fontId="36" fillId="0" borderId="0" xfId="2" applyFont="1" applyAlignment="1">
      <alignment horizontal="centerContinuous"/>
    </xf>
    <xf numFmtId="0" fontId="30" fillId="0" borderId="0" xfId="2" applyFont="1"/>
    <xf numFmtId="176" fontId="3" fillId="0" borderId="0" xfId="2" applyNumberFormat="1"/>
    <xf numFmtId="176" fontId="33" fillId="0" borderId="18" xfId="2" applyNumberFormat="1" applyFont="1" applyBorder="1"/>
    <xf numFmtId="176" fontId="37" fillId="0" borderId="18" xfId="2" applyNumberFormat="1" applyFont="1" applyBorder="1" applyAlignment="1">
      <alignment horizontal="center"/>
    </xf>
    <xf numFmtId="176" fontId="34" fillId="0" borderId="18" xfId="2" applyNumberFormat="1" applyFont="1" applyBorder="1"/>
    <xf numFmtId="0" fontId="3" fillId="0" borderId="0" xfId="2" applyAlignment="1">
      <alignment horizontal="left"/>
    </xf>
    <xf numFmtId="9" fontId="3" fillId="0" borderId="0" xfId="2" applyNumberFormat="1"/>
    <xf numFmtId="0" fontId="34" fillId="10" borderId="0" xfId="2" applyFont="1" applyFill="1"/>
    <xf numFmtId="0" fontId="42" fillId="0" borderId="0" xfId="2" applyFont="1" applyAlignment="1">
      <alignment horizontal="centerContinuous"/>
    </xf>
    <xf numFmtId="0" fontId="36" fillId="0" borderId="19" xfId="2" applyFont="1" applyBorder="1" applyAlignment="1">
      <alignment horizontal="centerContinuous"/>
    </xf>
    <xf numFmtId="0" fontId="3" fillId="0" borderId="0" xfId="2" applyAlignment="1">
      <alignment horizontal="centerContinuous"/>
    </xf>
    <xf numFmtId="0" fontId="3" fillId="0" borderId="19" xfId="2" applyBorder="1" applyAlignment="1">
      <alignment horizontal="centerContinuous"/>
    </xf>
    <xf numFmtId="0" fontId="3" fillId="0" borderId="0" xfId="2" applyAlignment="1">
      <alignment horizontal="right"/>
    </xf>
    <xf numFmtId="39" fontId="3" fillId="0" borderId="20" xfId="2" applyNumberFormat="1" applyBorder="1" applyAlignment="1">
      <alignment horizontal="right"/>
    </xf>
    <xf numFmtId="167" fontId="34" fillId="11" borderId="21" xfId="2" applyNumberFormat="1" applyFont="1" applyFill="1" applyBorder="1"/>
    <xf numFmtId="167" fontId="34" fillId="11" borderId="22" xfId="2" applyNumberFormat="1" applyFont="1" applyFill="1" applyBorder="1"/>
    <xf numFmtId="167" fontId="32" fillId="11" borderId="22" xfId="2" applyNumberFormat="1" applyFont="1" applyFill="1" applyBorder="1"/>
    <xf numFmtId="167" fontId="34" fillId="11" borderId="19" xfId="2" applyNumberFormat="1" applyFont="1" applyFill="1" applyBorder="1"/>
    <xf numFmtId="181" fontId="3" fillId="0" borderId="23" xfId="2" applyNumberFormat="1" applyBorder="1" applyAlignment="1">
      <alignment horizontal="right"/>
    </xf>
    <xf numFmtId="167" fontId="34" fillId="11" borderId="24" xfId="2" applyNumberFormat="1" applyFont="1" applyFill="1" applyBorder="1" applyAlignment="1">
      <alignment horizontal="right"/>
    </xf>
    <xf numFmtId="190" fontId="3" fillId="0" borderId="0" xfId="2" applyNumberFormat="1"/>
    <xf numFmtId="190" fontId="3" fillId="0" borderId="19" xfId="2" applyNumberFormat="1" applyBorder="1"/>
    <xf numFmtId="181" fontId="3" fillId="0" borderId="0" xfId="2" applyNumberFormat="1" applyAlignment="1">
      <alignment horizontal="right"/>
    </xf>
    <xf numFmtId="167" fontId="32" fillId="11" borderId="24" xfId="2" applyNumberFormat="1" applyFont="1" applyFill="1" applyBorder="1" applyAlignment="1">
      <alignment horizontal="right"/>
    </xf>
    <xf numFmtId="0" fontId="39" fillId="10" borderId="0" xfId="2" applyFont="1" applyFill="1" applyAlignment="1">
      <alignment horizontal="center"/>
    </xf>
    <xf numFmtId="167" fontId="34" fillId="11" borderId="25" xfId="2" applyNumberFormat="1" applyFont="1" applyFill="1" applyBorder="1" applyAlignment="1">
      <alignment horizontal="right"/>
    </xf>
    <xf numFmtId="191" fontId="3" fillId="0" borderId="0" xfId="2" applyNumberFormat="1"/>
    <xf numFmtId="191" fontId="3" fillId="0" borderId="19" xfId="2" applyNumberFormat="1" applyBorder="1"/>
    <xf numFmtId="187" fontId="3" fillId="0" borderId="23" xfId="2" applyNumberFormat="1" applyBorder="1"/>
    <xf numFmtId="181" fontId="34" fillId="11" borderId="22" xfId="2" applyNumberFormat="1" applyFont="1" applyFill="1" applyBorder="1"/>
    <xf numFmtId="181" fontId="32" fillId="11" borderId="22" xfId="2" applyNumberFormat="1" applyFont="1" applyFill="1" applyBorder="1"/>
    <xf numFmtId="181" fontId="34" fillId="11" borderId="19" xfId="2" applyNumberFormat="1" applyFont="1" applyFill="1" applyBorder="1"/>
    <xf numFmtId="0" fontId="3" fillId="0" borderId="19" xfId="2" applyBorder="1"/>
    <xf numFmtId="0" fontId="30" fillId="12" borderId="0" xfId="2" applyFont="1" applyFill="1"/>
    <xf numFmtId="0" fontId="30" fillId="12" borderId="19" xfId="2" applyFont="1" applyFill="1" applyBorder="1"/>
    <xf numFmtId="192" fontId="3" fillId="0" borderId="0" xfId="2" applyNumberFormat="1"/>
    <xf numFmtId="0" fontId="3" fillId="0" borderId="21" xfId="2" applyBorder="1"/>
    <xf numFmtId="0" fontId="3" fillId="0" borderId="22" xfId="2" applyBorder="1" applyAlignment="1">
      <alignment horizontal="right"/>
    </xf>
    <xf numFmtId="0" fontId="3" fillId="0" borderId="26" xfId="2" applyBorder="1" applyAlignment="1">
      <alignment horizontal="right"/>
    </xf>
    <xf numFmtId="0" fontId="3" fillId="0" borderId="22" xfId="2" applyBorder="1"/>
    <xf numFmtId="0" fontId="3" fillId="0" borderId="27" xfId="2" applyBorder="1"/>
    <xf numFmtId="0" fontId="3" fillId="0" borderId="28" xfId="2" quotePrefix="1" applyBorder="1"/>
    <xf numFmtId="39" fontId="3" fillId="0" borderId="0" xfId="2" applyNumberFormat="1"/>
    <xf numFmtId="39" fontId="3" fillId="0" borderId="29" xfId="2" applyNumberFormat="1" applyBorder="1"/>
    <xf numFmtId="39" fontId="34" fillId="0" borderId="0" xfId="2" applyNumberFormat="1" applyFont="1"/>
    <xf numFmtId="39" fontId="34" fillId="0" borderId="29" xfId="2" applyNumberFormat="1" applyFont="1" applyBorder="1"/>
    <xf numFmtId="0" fontId="3" fillId="0" borderId="28" xfId="2" applyBorder="1"/>
    <xf numFmtId="0" fontId="3" fillId="0" borderId="30" xfId="2" applyBorder="1"/>
    <xf numFmtId="39" fontId="3" fillId="0" borderId="20" xfId="2" applyNumberFormat="1" applyBorder="1"/>
    <xf numFmtId="39" fontId="3" fillId="0" borderId="23" xfId="2" applyNumberFormat="1" applyBorder="1"/>
    <xf numFmtId="0" fontId="3" fillId="0" borderId="20" xfId="2" applyBorder="1"/>
    <xf numFmtId="0" fontId="3" fillId="0" borderId="31" xfId="2" applyBorder="1"/>
    <xf numFmtId="39" fontId="34" fillId="0" borderId="20" xfId="2" applyNumberFormat="1" applyFont="1" applyBorder="1"/>
    <xf numFmtId="39" fontId="34" fillId="0" borderId="23" xfId="2" applyNumberFormat="1" applyFont="1" applyBorder="1"/>
    <xf numFmtId="0" fontId="2" fillId="0" borderId="0" xfId="4"/>
    <xf numFmtId="193" fontId="2" fillId="0" borderId="0" xfId="4" applyNumberFormat="1"/>
    <xf numFmtId="10" fontId="0" fillId="0" borderId="0" xfId="6" applyNumberFormat="1" applyFont="1"/>
    <xf numFmtId="37" fontId="2" fillId="0" borderId="0" xfId="4" applyNumberFormat="1"/>
    <xf numFmtId="10" fontId="2" fillId="0" borderId="0" xfId="4" applyNumberFormat="1"/>
    <xf numFmtId="0" fontId="3" fillId="0" borderId="6" xfId="2" applyBorder="1"/>
    <xf numFmtId="9" fontId="3" fillId="0" borderId="6" xfId="2" applyNumberFormat="1" applyBorder="1"/>
    <xf numFmtId="0" fontId="3" fillId="0" borderId="8" xfId="2" applyBorder="1"/>
    <xf numFmtId="0" fontId="30" fillId="0" borderId="32" xfId="2" applyFont="1" applyBorder="1"/>
    <xf numFmtId="176" fontId="33" fillId="0" borderId="33" xfId="2" applyNumberFormat="1" applyFont="1" applyBorder="1"/>
    <xf numFmtId="0" fontId="30" fillId="0" borderId="9" xfId="2" applyFont="1" applyBorder="1"/>
    <xf numFmtId="176" fontId="37" fillId="0" borderId="0" xfId="2" applyNumberFormat="1" applyFont="1"/>
    <xf numFmtId="176" fontId="37" fillId="0" borderId="10" xfId="2" applyNumberFormat="1" applyFont="1" applyBorder="1"/>
    <xf numFmtId="0" fontId="3" fillId="0" borderId="9" xfId="2" applyBorder="1"/>
    <xf numFmtId="0" fontId="40" fillId="0" borderId="0" xfId="2" applyFont="1" applyAlignment="1">
      <alignment horizontal="center"/>
    </xf>
    <xf numFmtId="14" fontId="3" fillId="0" borderId="0" xfId="2" applyNumberFormat="1"/>
    <xf numFmtId="14" fontId="3" fillId="0" borderId="10" xfId="2" applyNumberFormat="1" applyBorder="1"/>
    <xf numFmtId="177" fontId="3" fillId="0" borderId="0" xfId="2" applyNumberFormat="1" applyAlignment="1">
      <alignment horizontal="center"/>
    </xf>
    <xf numFmtId="176" fontId="34" fillId="0" borderId="33" xfId="2" applyNumberFormat="1" applyFont="1" applyBorder="1"/>
    <xf numFmtId="0" fontId="39" fillId="0" borderId="0" xfId="2" applyFont="1"/>
    <xf numFmtId="176" fontId="39" fillId="0" borderId="0" xfId="2" applyNumberFormat="1" applyFont="1"/>
    <xf numFmtId="176" fontId="39" fillId="0" borderId="10" xfId="2" applyNumberFormat="1" applyFont="1" applyBorder="1"/>
    <xf numFmtId="0" fontId="3" fillId="0" borderId="10" xfId="2" applyBorder="1"/>
    <xf numFmtId="0" fontId="3" fillId="0" borderId="33" xfId="2" applyBorder="1"/>
    <xf numFmtId="177" fontId="32" fillId="0" borderId="0" xfId="2" applyNumberFormat="1" applyFont="1"/>
    <xf numFmtId="176" fontId="3" fillId="0" borderId="10" xfId="2" applyNumberFormat="1" applyBorder="1"/>
    <xf numFmtId="180" fontId="3" fillId="0" borderId="9" xfId="2" applyNumberFormat="1" applyBorder="1"/>
    <xf numFmtId="181" fontId="32" fillId="0" borderId="10" xfId="2" applyNumberFormat="1" applyFont="1" applyBorder="1"/>
    <xf numFmtId="176" fontId="34" fillId="0" borderId="0" xfId="2" applyNumberFormat="1" applyFont="1"/>
    <xf numFmtId="176" fontId="30" fillId="0" borderId="0" xfId="2" applyNumberFormat="1" applyFont="1"/>
    <xf numFmtId="0" fontId="32" fillId="0" borderId="0" xfId="2" applyFont="1"/>
    <xf numFmtId="176" fontId="30" fillId="0" borderId="10" xfId="2" applyNumberFormat="1" applyFont="1" applyBorder="1"/>
    <xf numFmtId="177" fontId="3" fillId="0" borderId="0" xfId="2" applyNumberFormat="1"/>
    <xf numFmtId="0" fontId="38" fillId="0" borderId="9" xfId="2" applyFont="1" applyBorder="1" applyAlignment="1">
      <alignment horizontal="left"/>
    </xf>
    <xf numFmtId="177" fontId="38" fillId="0" borderId="0" xfId="2" applyNumberFormat="1" applyFont="1"/>
    <xf numFmtId="0" fontId="38" fillId="0" borderId="0" xfId="2" applyFont="1" applyAlignment="1">
      <alignment horizontal="left"/>
    </xf>
    <xf numFmtId="177" fontId="38" fillId="0" borderId="10" xfId="2" applyNumberFormat="1" applyFont="1" applyBorder="1"/>
    <xf numFmtId="182" fontId="38" fillId="0" borderId="0" xfId="2" applyNumberFormat="1" applyFont="1"/>
    <xf numFmtId="181" fontId="38" fillId="0" borderId="0" xfId="2" applyNumberFormat="1" applyFont="1"/>
    <xf numFmtId="175" fontId="3" fillId="0" borderId="10" xfId="2" quotePrefix="1" applyNumberFormat="1" applyBorder="1"/>
    <xf numFmtId="0" fontId="36" fillId="0" borderId="0" xfId="2" applyFont="1" applyAlignment="1">
      <alignment horizontal="right"/>
    </xf>
    <xf numFmtId="37" fontId="3" fillId="0" borderId="0" xfId="2" applyNumberFormat="1" applyAlignment="1">
      <alignment horizontal="right"/>
    </xf>
    <xf numFmtId="0" fontId="30" fillId="0" borderId="11" xfId="2" applyFont="1" applyBorder="1"/>
    <xf numFmtId="187" fontId="30" fillId="0" borderId="12" xfId="2" applyNumberFormat="1" applyFont="1" applyBorder="1" applyAlignment="1">
      <alignment horizontal="right"/>
    </xf>
    <xf numFmtId="0" fontId="3" fillId="0" borderId="12" xfId="2" applyBorder="1"/>
    <xf numFmtId="176" fontId="34" fillId="0" borderId="12" xfId="2" applyNumberFormat="1" applyFont="1" applyBorder="1"/>
    <xf numFmtId="0" fontId="3" fillId="0" borderId="13" xfId="2" applyBorder="1"/>
    <xf numFmtId="0" fontId="38" fillId="0" borderId="9" xfId="2" applyFont="1" applyBorder="1"/>
    <xf numFmtId="0" fontId="3" fillId="0" borderId="9" xfId="2" applyBorder="1" applyAlignment="1">
      <alignment horizontal="left" indent="1"/>
    </xf>
    <xf numFmtId="0" fontId="3" fillId="0" borderId="9" xfId="2" applyBorder="1" applyAlignment="1">
      <alignment horizontal="left"/>
    </xf>
    <xf numFmtId="0" fontId="41" fillId="0" borderId="9" xfId="2" applyFont="1" applyBorder="1" applyAlignment="1">
      <alignment horizontal="left" vertical="center"/>
    </xf>
    <xf numFmtId="0" fontId="34" fillId="0" borderId="9" xfId="2" applyFont="1" applyBorder="1" applyAlignment="1">
      <alignment horizontal="left" indent="1"/>
    </xf>
    <xf numFmtId="0" fontId="3" fillId="0" borderId="9" xfId="2" applyBorder="1" applyAlignment="1">
      <alignment horizontal="left" vertical="center" indent="1"/>
    </xf>
    <xf numFmtId="0" fontId="30" fillId="0" borderId="9" xfId="2" applyFont="1" applyBorder="1" applyAlignment="1">
      <alignment vertical="center"/>
    </xf>
    <xf numFmtId="0" fontId="41" fillId="0" borderId="9" xfId="2" applyFont="1" applyBorder="1"/>
    <xf numFmtId="176" fontId="34" fillId="0" borderId="11" xfId="2" applyNumberFormat="1" applyFont="1" applyBorder="1"/>
    <xf numFmtId="188" fontId="3" fillId="0" borderId="12" xfId="2" applyNumberFormat="1" applyBorder="1" applyAlignment="1">
      <alignment horizontal="right"/>
    </xf>
    <xf numFmtId="177" fontId="3" fillId="0" borderId="12" xfId="2" applyNumberFormat="1" applyBorder="1" applyAlignment="1">
      <alignment horizontal="right"/>
    </xf>
    <xf numFmtId="0" fontId="38" fillId="0" borderId="12" xfId="2" applyFont="1" applyBorder="1" applyAlignment="1">
      <alignment horizontal="left"/>
    </xf>
    <xf numFmtId="181" fontId="38" fillId="0" borderId="12" xfId="2" applyNumberFormat="1" applyFont="1" applyBorder="1"/>
    <xf numFmtId="0" fontId="46" fillId="0" borderId="7" xfId="2" applyFont="1" applyBorder="1"/>
    <xf numFmtId="14" fontId="3" fillId="0" borderId="0" xfId="2" applyNumberFormat="1" applyAlignment="1">
      <alignment horizontal="center"/>
    </xf>
    <xf numFmtId="180" fontId="30" fillId="0" borderId="0" xfId="2" applyNumberFormat="1" applyFont="1"/>
    <xf numFmtId="177" fontId="45" fillId="0" borderId="0" xfId="2" applyNumberFormat="1" applyFont="1"/>
    <xf numFmtId="176" fontId="33" fillId="0" borderId="0" xfId="2" applyNumberFormat="1" applyFont="1"/>
    <xf numFmtId="37" fontId="34" fillId="0" borderId="0" xfId="2" applyNumberFormat="1" applyFont="1"/>
    <xf numFmtId="176" fontId="32" fillId="0" borderId="0" xfId="2" applyNumberFormat="1" applyFont="1"/>
    <xf numFmtId="37" fontId="32" fillId="0" borderId="0" xfId="2" applyNumberFormat="1" applyFont="1"/>
    <xf numFmtId="176" fontId="33" fillId="0" borderId="10" xfId="2" applyNumberFormat="1" applyFont="1" applyBorder="1"/>
    <xf numFmtId="176" fontId="34" fillId="0" borderId="10" xfId="2" applyNumberFormat="1" applyFont="1" applyBorder="1"/>
    <xf numFmtId="181" fontId="32" fillId="0" borderId="0" xfId="2" applyNumberFormat="1" applyFont="1"/>
    <xf numFmtId="177" fontId="3" fillId="0" borderId="10" xfId="2" applyNumberFormat="1" applyBorder="1"/>
    <xf numFmtId="175" fontId="3" fillId="0" borderId="0" xfId="2" quotePrefix="1" applyNumberFormat="1"/>
    <xf numFmtId="0" fontId="38" fillId="0" borderId="0" xfId="2" applyFont="1"/>
    <xf numFmtId="0" fontId="41" fillId="0" borderId="0" xfId="2" applyFont="1"/>
    <xf numFmtId="0" fontId="41" fillId="0" borderId="0" xfId="2" applyFont="1" applyAlignment="1">
      <alignment horizontal="right"/>
    </xf>
    <xf numFmtId="183" fontId="32" fillId="0" borderId="0" xfId="2" applyNumberFormat="1" applyFont="1"/>
    <xf numFmtId="183" fontId="32" fillId="0" borderId="10" xfId="2" applyNumberFormat="1" applyFont="1" applyBorder="1"/>
    <xf numFmtId="184" fontId="32" fillId="0" borderId="10" xfId="2" applyNumberFormat="1" applyFont="1" applyBorder="1"/>
    <xf numFmtId="37" fontId="33" fillId="0" borderId="0" xfId="2" applyNumberFormat="1" applyFont="1"/>
    <xf numFmtId="184" fontId="33" fillId="0" borderId="0" xfId="2" applyNumberFormat="1" applyFont="1" applyAlignment="1">
      <alignment horizontal="right"/>
    </xf>
    <xf numFmtId="0" fontId="30" fillId="0" borderId="0" xfId="2" applyFont="1" applyAlignment="1">
      <alignment horizontal="left"/>
    </xf>
    <xf numFmtId="185" fontId="30" fillId="0" borderId="0" xfId="2" applyNumberFormat="1" applyFont="1"/>
    <xf numFmtId="186" fontId="32" fillId="0" borderId="10" xfId="2" applyNumberFormat="1" applyFont="1" applyBorder="1"/>
    <xf numFmtId="37" fontId="30" fillId="0" borderId="0" xfId="2" applyNumberFormat="1" applyFont="1"/>
    <xf numFmtId="176" fontId="3" fillId="0" borderId="0" xfId="2" applyNumberFormat="1" applyAlignment="1">
      <alignment horizontal="right"/>
    </xf>
    <xf numFmtId="180" fontId="3" fillId="0" borderId="0" xfId="2" applyNumberFormat="1"/>
    <xf numFmtId="187" fontId="30" fillId="0" borderId="0" xfId="2" applyNumberFormat="1" applyFont="1" applyAlignment="1">
      <alignment horizontal="right"/>
    </xf>
    <xf numFmtId="0" fontId="30" fillId="0" borderId="10" xfId="2" applyFont="1" applyBorder="1"/>
    <xf numFmtId="188" fontId="3" fillId="0" borderId="0" xfId="2" applyNumberFormat="1" applyAlignment="1">
      <alignment horizontal="right"/>
    </xf>
    <xf numFmtId="189" fontId="3" fillId="0" borderId="0" xfId="2" applyNumberFormat="1" applyAlignment="1">
      <alignment horizontal="right"/>
    </xf>
    <xf numFmtId="0" fontId="38" fillId="0" borderId="10" xfId="2" applyFont="1" applyBorder="1" applyAlignment="1">
      <alignment horizontal="left"/>
    </xf>
    <xf numFmtId="178" fontId="3" fillId="0" borderId="0" xfId="2" applyNumberFormat="1" applyAlignment="1">
      <alignment horizontal="center"/>
    </xf>
    <xf numFmtId="179" fontId="30" fillId="0" borderId="0" xfId="2" applyNumberFormat="1" applyFont="1"/>
    <xf numFmtId="175" fontId="32" fillId="0" borderId="0" xfId="2" applyNumberFormat="1" applyFont="1"/>
    <xf numFmtId="176" fontId="37" fillId="0" borderId="0" xfId="2" applyNumberFormat="1" applyFont="1" applyAlignment="1">
      <alignment horizontal="center"/>
    </xf>
    <xf numFmtId="37" fontId="3" fillId="0" borderId="0" xfId="2" applyNumberFormat="1"/>
    <xf numFmtId="37" fontId="38" fillId="0" borderId="0" xfId="2" applyNumberFormat="1" applyFont="1" applyAlignment="1">
      <alignment horizontal="right"/>
    </xf>
    <xf numFmtId="7" fontId="33" fillId="0" borderId="6" xfId="2" applyNumberFormat="1" applyFont="1" applyBorder="1" applyAlignment="1">
      <alignment horizontal="right"/>
    </xf>
    <xf numFmtId="176" fontId="37" fillId="0" borderId="10" xfId="2" applyNumberFormat="1" applyFont="1" applyBorder="1" applyAlignment="1">
      <alignment horizontal="center"/>
    </xf>
    <xf numFmtId="0" fontId="3" fillId="13" borderId="0" xfId="2" applyFill="1"/>
    <xf numFmtId="187" fontId="47" fillId="13" borderId="0" xfId="2" applyNumberFormat="1" applyFont="1" applyFill="1"/>
    <xf numFmtId="0" fontId="47" fillId="13" borderId="37" xfId="2" applyFont="1" applyFill="1" applyBorder="1"/>
    <xf numFmtId="0" fontId="3" fillId="13" borderId="37" xfId="2" applyFill="1" applyBorder="1"/>
    <xf numFmtId="0" fontId="3" fillId="13" borderId="38" xfId="2" applyFill="1" applyBorder="1"/>
    <xf numFmtId="187" fontId="47" fillId="13" borderId="38" xfId="2" applyNumberFormat="1" applyFont="1" applyFill="1" applyBorder="1"/>
    <xf numFmtId="0" fontId="47" fillId="13" borderId="39" xfId="2" applyFont="1" applyFill="1" applyBorder="1"/>
    <xf numFmtId="187" fontId="47" fillId="13" borderId="40" xfId="2" applyNumberFormat="1" applyFont="1" applyFill="1" applyBorder="1"/>
    <xf numFmtId="187" fontId="47" fillId="13" borderId="41" xfId="2" applyNumberFormat="1" applyFont="1" applyFill="1" applyBorder="1"/>
    <xf numFmtId="0" fontId="47" fillId="13" borderId="40" xfId="2" applyFont="1" applyFill="1" applyBorder="1"/>
    <xf numFmtId="0" fontId="47" fillId="13" borderId="41" xfId="2" applyFont="1" applyFill="1" applyBorder="1"/>
    <xf numFmtId="10" fontId="12" fillId="0" borderId="0" xfId="9" applyNumberFormat="1" applyFont="1"/>
    <xf numFmtId="167" fontId="2" fillId="0" borderId="0" xfId="4" applyNumberFormat="1"/>
    <xf numFmtId="166" fontId="19" fillId="14" borderId="12" xfId="0" applyNumberFormat="1" applyFont="1" applyFill="1" applyBorder="1" applyAlignment="1">
      <alignment horizontal="center"/>
    </xf>
    <xf numFmtId="166" fontId="19" fillId="14" borderId="13" xfId="0" applyNumberFormat="1" applyFont="1" applyFill="1" applyBorder="1" applyAlignment="1">
      <alignment horizontal="center"/>
    </xf>
    <xf numFmtId="166" fontId="19" fillId="14" borderId="0" xfId="0" applyNumberFormat="1" applyFont="1" applyFill="1" applyAlignment="1">
      <alignment horizontal="center"/>
    </xf>
    <xf numFmtId="166" fontId="19" fillId="14" borderId="10" xfId="0" applyNumberFormat="1" applyFont="1" applyFill="1" applyBorder="1" applyAlignment="1">
      <alignment horizontal="center"/>
    </xf>
    <xf numFmtId="164" fontId="18" fillId="0" borderId="42" xfId="0" applyFont="1" applyBorder="1"/>
    <xf numFmtId="164" fontId="18" fillId="0" borderId="0" xfId="0" applyFont="1"/>
    <xf numFmtId="195" fontId="47" fillId="13" borderId="9" xfId="2" applyNumberFormat="1" applyFont="1" applyFill="1" applyBorder="1"/>
    <xf numFmtId="195" fontId="47" fillId="13" borderId="10" xfId="2" applyNumberFormat="1" applyFont="1" applyFill="1" applyBorder="1"/>
    <xf numFmtId="187" fontId="47" fillId="13" borderId="10" xfId="2" applyNumberFormat="1" applyFont="1" applyFill="1" applyBorder="1"/>
    <xf numFmtId="43" fontId="1" fillId="0" borderId="0" xfId="1" applyFont="1"/>
    <xf numFmtId="193" fontId="45" fillId="0" borderId="0" xfId="4" applyNumberFormat="1" applyFont="1"/>
    <xf numFmtId="0" fontId="45" fillId="0" borderId="0" xfId="4" applyFont="1"/>
    <xf numFmtId="10" fontId="45" fillId="0" borderId="0" xfId="4" applyNumberFormat="1" applyFont="1"/>
    <xf numFmtId="194" fontId="45" fillId="0" borderId="0" xfId="4" applyNumberFormat="1" applyFont="1"/>
    <xf numFmtId="43" fontId="45" fillId="0" borderId="0" xfId="4" applyNumberFormat="1" applyFont="1"/>
    <xf numFmtId="0" fontId="1" fillId="0" borderId="0" xfId="4" applyFont="1"/>
    <xf numFmtId="43" fontId="2" fillId="0" borderId="0" xfId="4" applyNumberFormat="1"/>
    <xf numFmtId="195" fontId="47" fillId="13" borderId="0" xfId="2" applyNumberFormat="1" applyFont="1" applyFill="1"/>
    <xf numFmtId="195" fontId="47" fillId="13" borderId="46" xfId="2" applyNumberFormat="1" applyFont="1" applyFill="1" applyBorder="1"/>
    <xf numFmtId="195" fontId="47" fillId="13" borderId="42" xfId="2" applyNumberFormat="1" applyFont="1" applyFill="1" applyBorder="1"/>
    <xf numFmtId="43" fontId="47" fillId="13" borderId="0" xfId="1" applyFont="1" applyFill="1" applyBorder="1"/>
    <xf numFmtId="196" fontId="47" fillId="13" borderId="0" xfId="1" applyNumberFormat="1" applyFont="1" applyFill="1" applyBorder="1"/>
    <xf numFmtId="43" fontId="47" fillId="13" borderId="42" xfId="1" applyFont="1" applyFill="1" applyBorder="1"/>
    <xf numFmtId="0" fontId="1" fillId="0" borderId="9" xfId="2" applyFont="1" applyBorder="1"/>
    <xf numFmtId="14" fontId="1" fillId="0" borderId="0" xfId="1" applyNumberFormat="1" applyFont="1" applyBorder="1"/>
    <xf numFmtId="14" fontId="1" fillId="0" borderId="10" xfId="1" applyNumberFormat="1" applyFont="1" applyBorder="1"/>
    <xf numFmtId="0" fontId="1" fillId="0" borderId="0" xfId="2" applyFont="1"/>
    <xf numFmtId="167" fontId="1" fillId="0" borderId="0" xfId="9" applyNumberFormat="1" applyFont="1" applyAlignment="1">
      <alignment horizontal="right"/>
    </xf>
    <xf numFmtId="44" fontId="1" fillId="0" borderId="0" xfId="8" applyFont="1"/>
    <xf numFmtId="167" fontId="1" fillId="0" borderId="0" xfId="9" applyNumberFormat="1" applyFont="1"/>
    <xf numFmtId="164" fontId="4" fillId="2" borderId="1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left"/>
    </xf>
    <xf numFmtId="164" fontId="7" fillId="2" borderId="5" xfId="0" applyFont="1" applyFill="1" applyBorder="1" applyAlignment="1">
      <alignment horizontal="center" vertical="center"/>
    </xf>
    <xf numFmtId="164" fontId="4" fillId="0" borderId="2" xfId="0" applyFont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/>
    </xf>
    <xf numFmtId="165" fontId="9" fillId="2" borderId="13" xfId="0" applyNumberFormat="1" applyFont="1" applyFill="1" applyBorder="1" applyAlignment="1">
      <alignment horizontal="center"/>
    </xf>
    <xf numFmtId="164" fontId="14" fillId="5" borderId="2" xfId="0" applyFont="1" applyFill="1" applyBorder="1" applyAlignment="1">
      <alignment horizontal="center" vertical="center"/>
    </xf>
    <xf numFmtId="164" fontId="14" fillId="5" borderId="1" xfId="0" applyFont="1" applyFill="1" applyBorder="1" applyAlignment="1">
      <alignment horizontal="center" vertical="center"/>
    </xf>
    <xf numFmtId="164" fontId="14" fillId="4" borderId="2" xfId="0" applyFont="1" applyFill="1" applyBorder="1" applyAlignment="1">
      <alignment horizontal="center" vertical="center"/>
    </xf>
    <xf numFmtId="164" fontId="15" fillId="2" borderId="2" xfId="0" applyFont="1" applyFill="1" applyBorder="1" applyAlignment="1">
      <alignment horizontal="center" vertical="top" wrapText="1"/>
    </xf>
    <xf numFmtId="164" fontId="15" fillId="2" borderId="2" xfId="0" applyFont="1" applyFill="1" applyBorder="1" applyAlignment="1">
      <alignment horizontal="left" vertical="top" wrapText="1"/>
    </xf>
    <xf numFmtId="164" fontId="15" fillId="2" borderId="15" xfId="0" applyFont="1" applyFill="1" applyBorder="1" applyAlignment="1">
      <alignment horizontal="center" vertical="top" wrapText="1"/>
    </xf>
    <xf numFmtId="164" fontId="15" fillId="2" borderId="15" xfId="0" applyFont="1" applyFill="1" applyBorder="1" applyAlignment="1">
      <alignment horizontal="left" vertical="top" wrapText="1"/>
    </xf>
    <xf numFmtId="164" fontId="15" fillId="2" borderId="1" xfId="0" applyFont="1" applyFill="1" applyBorder="1" applyAlignment="1">
      <alignment horizontal="left" vertical="top" wrapText="1"/>
    </xf>
    <xf numFmtId="164" fontId="15" fillId="2" borderId="14" xfId="0" applyFont="1" applyFill="1" applyBorder="1" applyAlignment="1">
      <alignment horizontal="left" vertical="top" wrapText="1"/>
    </xf>
    <xf numFmtId="164" fontId="14" fillId="5" borderId="15" xfId="0" applyFont="1" applyFill="1" applyBorder="1" applyAlignment="1">
      <alignment horizontal="center" vertical="center"/>
    </xf>
    <xf numFmtId="164" fontId="14" fillId="4" borderId="2" xfId="0" applyFont="1" applyFill="1" applyBorder="1" applyAlignment="1">
      <alignment horizontal="center"/>
    </xf>
    <xf numFmtId="164" fontId="17" fillId="5" borderId="2" xfId="0" applyFont="1" applyFill="1" applyBorder="1" applyAlignment="1">
      <alignment horizontal="center" vertical="center"/>
    </xf>
    <xf numFmtId="164" fontId="15" fillId="2" borderId="8" xfId="0" applyFont="1" applyFill="1" applyBorder="1" applyAlignment="1">
      <alignment horizontal="left" vertical="top" wrapText="1"/>
    </xf>
    <xf numFmtId="164" fontId="15" fillId="2" borderId="10" xfId="0" applyFont="1" applyFill="1" applyBorder="1" applyAlignment="1">
      <alignment horizontal="left" vertical="top" wrapText="1"/>
    </xf>
    <xf numFmtId="0" fontId="37" fillId="0" borderId="0" xfId="2" applyFont="1" applyAlignment="1">
      <alignment horizontal="center"/>
    </xf>
    <xf numFmtId="0" fontId="47" fillId="13" borderId="0" xfId="2" applyFont="1" applyFill="1" applyAlignment="1">
      <alignment horizontal="center"/>
    </xf>
    <xf numFmtId="0" fontId="47" fillId="13" borderId="38" xfId="2" applyFont="1" applyFill="1" applyBorder="1" applyAlignment="1">
      <alignment horizontal="center"/>
    </xf>
    <xf numFmtId="0" fontId="47" fillId="13" borderId="34" xfId="2" applyFont="1" applyFill="1" applyBorder="1" applyAlignment="1">
      <alignment horizontal="center"/>
    </xf>
    <xf numFmtId="0" fontId="47" fillId="13" borderId="35" xfId="2" applyFont="1" applyFill="1" applyBorder="1" applyAlignment="1">
      <alignment horizontal="center"/>
    </xf>
    <xf numFmtId="0" fontId="47" fillId="13" borderId="36" xfId="2" applyFont="1" applyFill="1" applyBorder="1" applyAlignment="1">
      <alignment horizontal="center"/>
    </xf>
    <xf numFmtId="195" fontId="47" fillId="13" borderId="43" xfId="2" applyNumberFormat="1" applyFont="1" applyFill="1" applyBorder="1" applyAlignment="1">
      <alignment horizontal="center" vertical="center"/>
    </xf>
    <xf numFmtId="195" fontId="47" fillId="13" borderId="44" xfId="2" applyNumberFormat="1" applyFont="1" applyFill="1" applyBorder="1" applyAlignment="1">
      <alignment horizontal="center" vertical="center"/>
    </xf>
    <xf numFmtId="195" fontId="47" fillId="13" borderId="45" xfId="2" applyNumberFormat="1" applyFont="1" applyFill="1" applyBorder="1" applyAlignment="1">
      <alignment horizontal="center" vertic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181.07582647246923</c:v>
                </c:pt>
                <c:pt idx="1">
                  <c:v>208.21169584122961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30.113752718117127</c:v>
                </c:pt>
                <c:pt idx="1">
                  <c:v>215.96812629226545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12.0x-14.0x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211.18957919058636</c:v>
                </c:pt>
                <c:pt idx="1">
                  <c:v>424.17982213349507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15.448276337342534</c:v>
                </c:pt>
                <c:pt idx="1">
                  <c:v>1.425185721743441E-2</c:v>
                </c:pt>
                <c:pt idx="2">
                  <c:v>2.7230567821613351E-2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14.740450728485783</c:v>
                </c:pt>
                <c:pt idx="1">
                  <c:v>6.2921825399890746E-3</c:v>
                </c:pt>
                <c:pt idx="2">
                  <c:v>-1.9200571361151657E-2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LTM EBITDA Purchase Multiple at 0.0x-0.0x Exit EBITDA Multiple at 6.0% WACC</c:v>
                </c:pt>
                <c:pt idx="2">
                  <c:v>LTM EBITDA Purchase Multiple at 5.0%-7.0% WACC at 13.0x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30.188727065828317</c:v>
                </c:pt>
                <c:pt idx="1">
                  <c:v>2.0544039757423485E-2</c:v>
                </c:pt>
                <c:pt idx="2">
                  <c:v>8.0299964604616941E-3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218.58988139319837</c:v>
                </c:pt>
                <c:pt idx="1">
                  <c:v>204.50280102213321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EV/EBITDA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193.02286141537462</c:v>
                </c:pt>
                <c:pt idx="1">
                  <c:v>228.14877997561089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13</xdr:row>
      <xdr:rowOff>190410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24684</xdr:colOff>
      <xdr:row>10</xdr:row>
      <xdr:rowOff>88541</xdr:rowOff>
    </xdr:from>
    <xdr:to>
      <xdr:col>25</xdr:col>
      <xdr:colOff>40379</xdr:colOff>
      <xdr:row>24</xdr:row>
      <xdr:rowOff>185669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CCB59C-1394-4B52-A16B-0E9CE1CFFD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219075</xdr:colOff>
      <xdr:row>20</xdr:row>
      <xdr:rowOff>19050</xdr:rowOff>
    </xdr:from>
    <xdr:to>
      <xdr:col>8</xdr:col>
      <xdr:colOff>314833</xdr:colOff>
      <xdr:row>24</xdr:row>
      <xdr:rowOff>28683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B7C978-9B4E-280A-D055-76EF3B41E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91150" y="3829050"/>
          <a:ext cx="3639058" cy="7716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308160</xdr:colOff>
      <xdr:row>19</xdr:row>
      <xdr:rowOff>27720</xdr:rowOff>
    </xdr:from>
    <xdr:to>
      <xdr:col>26</xdr:col>
      <xdr:colOff>519120</xdr:colOff>
      <xdr:row>66</xdr:row>
      <xdr:rowOff>120600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852040" y="3132720"/>
          <a:ext cx="8754840" cy="7770240"/>
        </a:xfrm>
        <a:prstGeom prst="rect">
          <a:avLst/>
        </a:prstGeom>
        <a:ln w="0">
          <a:noFill/>
        </a:ln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86C0303B-EDC1-45C3-AA67-3E1551B6BE8E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5" dT="2026-09-23T18:44:30.07" personId="{86C0303B-EDC1-45C3-AA67-3E1551B6BE8E}" id="{D07B79D0-3276-4671-A484-1FFFA856B2D2}">
    <text xml:space="preserve">Earnings
</text>
  </threadedComment>
  <threadedComment ref="T6" dT="2026-09-23T18:47:07.46" personId="{86C0303B-EDC1-45C3-AA67-3E1551B6BE8E}" id="{DA85658D-D7C3-4857-9560-553BF908B8F1}">
    <text xml:space="preserve">EBITDA
</text>
  </threadedComment>
  <threadedComment ref="T7" dT="2026-09-23T18:46:55.07" personId="{86C0303B-EDC1-45C3-AA67-3E1551B6BE8E}" id="{E1C6C134-5129-40CF-8DB2-CED24D398E97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sdaq.com/market-activity/stocks/msft/short-interest" TargetMode="External"/><Relationship Id="rId2" Type="http://schemas.openxmlformats.org/officeDocument/2006/relationships/hyperlink" Target="https://www.chicagobooth.edu/~/media/FE874EE65F624AAEBD0166B1974FD74D.pdf" TargetMode="External"/><Relationship Id="rId1" Type="http://schemas.openxmlformats.org/officeDocument/2006/relationships/hyperlink" Target="https://en.wikipedia.org/wiki/Piotroski_F-score" TargetMode="External"/><Relationship Id="rId6" Type="http://schemas.openxmlformats.org/officeDocument/2006/relationships/drawing" Target="../drawings/drawing4.xml"/><Relationship Id="rId5" Type="http://schemas.openxmlformats.org/officeDocument/2006/relationships/hyperlink" Target="https://www.nasdaq.com/market-activity/stocks/exas/institutional-holdings" TargetMode="External"/><Relationship Id="rId4" Type="http://schemas.openxmlformats.org/officeDocument/2006/relationships/hyperlink" Target="https://www.nyse.com/quote/XNGS:MSF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tabSelected="1" zoomScaleNormal="100" workbookViewId="0">
      <selection activeCell="A8" sqref="A8:XFD8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403" t="s">
        <v>0</v>
      </c>
      <c r="B1" s="403"/>
      <c r="C1" s="403"/>
      <c r="D1" s="403"/>
      <c r="E1" s="403"/>
      <c r="F1" s="403"/>
      <c r="G1" s="403"/>
      <c r="H1" s="404"/>
      <c r="I1" s="404"/>
      <c r="J1" s="404"/>
      <c r="K1" s="404"/>
      <c r="L1" s="404"/>
      <c r="M1" s="404"/>
    </row>
    <row r="2" spans="1:18" ht="21.75" customHeight="1" x14ac:dyDescent="0.2">
      <c r="A2" s="2" t="s">
        <v>1</v>
      </c>
      <c r="B2" s="3"/>
      <c r="C2" s="4" t="s">
        <v>2</v>
      </c>
      <c r="D2" s="5"/>
      <c r="E2" s="6" t="s">
        <v>3</v>
      </c>
      <c r="F2" s="405" t="s">
        <v>4</v>
      </c>
      <c r="G2" s="405"/>
      <c r="H2" s="406" t="s">
        <v>5</v>
      </c>
      <c r="I2" s="406"/>
      <c r="J2" s="406"/>
      <c r="K2" s="406"/>
      <c r="L2" s="406"/>
      <c r="M2" s="406"/>
    </row>
    <row r="3" spans="1:18" ht="15" customHeight="1" x14ac:dyDescent="0.2">
      <c r="A3" s="7" t="s">
        <v>6</v>
      </c>
      <c r="B3" s="8"/>
      <c r="C3" s="9">
        <v>160.19</v>
      </c>
      <c r="D3" s="10"/>
      <c r="E3" s="6" t="s">
        <v>7</v>
      </c>
      <c r="F3" s="407"/>
      <c r="G3" s="407"/>
      <c r="H3" s="11" t="s">
        <v>8</v>
      </c>
      <c r="I3" s="12" t="s">
        <v>9</v>
      </c>
      <c r="K3" s="11" t="s">
        <v>10</v>
      </c>
      <c r="M3" s="13">
        <f>C3*'Detail Data'!E9</f>
        <v>32582.646000000001</v>
      </c>
    </row>
    <row r="4" spans="1:18" ht="15" customHeight="1" x14ac:dyDescent="0.2">
      <c r="A4" s="14" t="s">
        <v>11</v>
      </c>
      <c r="B4" s="15"/>
      <c r="C4" s="16">
        <v>46300</v>
      </c>
      <c r="D4" s="17"/>
      <c r="E4" s="18" t="s">
        <v>12</v>
      </c>
      <c r="F4" s="408"/>
      <c r="G4" s="408"/>
      <c r="H4" s="19" t="s">
        <v>13</v>
      </c>
      <c r="I4" s="20">
        <v>2025</v>
      </c>
      <c r="K4" s="21" t="s">
        <v>14</v>
      </c>
      <c r="L4" s="22"/>
      <c r="M4" s="23">
        <f>M3+'Detail Data'!E34-'Detail Data'!E28</f>
        <v>35485.146000000001</v>
      </c>
    </row>
    <row r="5" spans="1:18" ht="17.25" customHeight="1" x14ac:dyDescent="0.2">
      <c r="A5" s="24"/>
      <c r="B5" s="25"/>
      <c r="C5" s="26" t="s">
        <v>15</v>
      </c>
      <c r="D5" s="10"/>
      <c r="E5" s="27" t="s">
        <v>16</v>
      </c>
      <c r="F5" s="28" t="s">
        <v>17</v>
      </c>
      <c r="G5" s="29" t="s">
        <v>18</v>
      </c>
      <c r="H5" s="409" t="s">
        <v>19</v>
      </c>
      <c r="I5" s="409"/>
      <c r="K5" s="410" t="s">
        <v>20</v>
      </c>
      <c r="L5" s="410"/>
      <c r="M5" s="410"/>
    </row>
    <row r="6" spans="1:18" ht="15" customHeight="1" x14ac:dyDescent="0.2">
      <c r="A6" s="30" t="s">
        <v>21</v>
      </c>
      <c r="B6" s="31"/>
      <c r="C6" s="32">
        <v>6040.53</v>
      </c>
      <c r="D6" s="17"/>
      <c r="E6" s="33"/>
      <c r="F6" s="22"/>
      <c r="G6" s="34"/>
      <c r="H6" s="35" t="s">
        <v>22</v>
      </c>
      <c r="I6" s="36">
        <f>'Detail Data'!E23</f>
        <v>0.41118204367096334</v>
      </c>
      <c r="K6" s="35" t="s">
        <v>23</v>
      </c>
      <c r="L6" s="37"/>
      <c r="M6" s="38">
        <f>'Detail Data'!E28</f>
        <v>1451.5</v>
      </c>
    </row>
    <row r="7" spans="1:18" ht="19.5" customHeight="1" x14ac:dyDescent="0.2">
      <c r="A7" s="30" t="s">
        <v>24</v>
      </c>
      <c r="B7" s="31"/>
      <c r="C7" s="39">
        <v>7656.98</v>
      </c>
      <c r="D7" s="17"/>
      <c r="E7" s="40">
        <f>C7/C6-1</f>
        <v>0.26760069066787184</v>
      </c>
      <c r="F7" s="41">
        <v>358.17</v>
      </c>
      <c r="G7" s="42">
        <f>C7/F7</f>
        <v>21.378060697434176</v>
      </c>
      <c r="H7" s="35" t="s">
        <v>25</v>
      </c>
      <c r="I7" s="36">
        <f>AVERAGE('Detail Data'!C23,'Detail Data'!D23,'Detail Data'!E23)</f>
        <v>0.4066217346176888</v>
      </c>
      <c r="K7" s="35" t="s">
        <v>26</v>
      </c>
      <c r="L7" s="37"/>
      <c r="M7" s="43">
        <f>M6/'Detail Data'!E9</f>
        <v>7.1361848574237952</v>
      </c>
    </row>
    <row r="8" spans="1:18" ht="28" x14ac:dyDescent="0.2">
      <c r="A8" s="30" t="s">
        <v>27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28</v>
      </c>
      <c r="I8" s="36">
        <f>'Detail Data'!E25</f>
        <v>0.13910462326678322</v>
      </c>
      <c r="K8" s="35" t="s">
        <v>29</v>
      </c>
      <c r="L8" s="37"/>
      <c r="M8" s="38">
        <f>'Detail Data'!E41</f>
        <v>1712.1000000000001</v>
      </c>
    </row>
    <row r="9" spans="1:18" ht="15" customHeight="1" x14ac:dyDescent="0.2">
      <c r="A9" s="45" t="s">
        <v>30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31</v>
      </c>
      <c r="I9" s="36">
        <f>AVERAGE('Detail Data'!C25,'Detail Data'!D25,'Detail Data'!E25)</f>
        <v>0.13764294654242248</v>
      </c>
      <c r="K9" s="35" t="s">
        <v>32</v>
      </c>
      <c r="L9" s="37"/>
      <c r="M9" s="43">
        <f>M8/'Detail Data'!E9</f>
        <v>8.4174041297935105</v>
      </c>
    </row>
    <row r="10" spans="1:18" ht="18.75" customHeight="1" x14ac:dyDescent="0.2">
      <c r="A10" s="411" t="s">
        <v>33</v>
      </c>
      <c r="B10" s="411"/>
      <c r="C10" s="411"/>
      <c r="D10" s="17"/>
      <c r="E10" s="409" t="s">
        <v>34</v>
      </c>
      <c r="F10" s="409"/>
      <c r="G10" s="409"/>
      <c r="H10" s="35" t="s">
        <v>35</v>
      </c>
      <c r="I10" s="36">
        <f>'Detail Data'!E26</f>
        <v>0.2468263326962957</v>
      </c>
      <c r="K10" s="35" t="s">
        <v>36</v>
      </c>
      <c r="L10" s="37"/>
      <c r="M10" s="38">
        <f>'Detail Data'!E34</f>
        <v>4354</v>
      </c>
    </row>
    <row r="11" spans="1:18" ht="18.75" customHeight="1" x14ac:dyDescent="0.2">
      <c r="A11" s="412"/>
      <c r="B11" s="412"/>
      <c r="C11" s="412"/>
      <c r="D11" s="17"/>
      <c r="E11" s="413" t="s">
        <v>37</v>
      </c>
      <c r="F11" s="413"/>
      <c r="G11" s="413"/>
      <c r="H11" s="51" t="s">
        <v>38</v>
      </c>
      <c r="I11" s="52">
        <f>AVERAGE('Detail Data'!C26,'Detail Data'!D26,'Detail Data'!E26)</f>
        <v>0.23751537688279645</v>
      </c>
      <c r="K11" s="51" t="s">
        <v>39</v>
      </c>
      <c r="L11" s="53"/>
      <c r="M11" s="54">
        <f>M10/M8</f>
        <v>2.5430757549208574</v>
      </c>
    </row>
    <row r="12" spans="1:18" ht="18.75" customHeight="1" x14ac:dyDescent="0.2">
      <c r="A12" s="412"/>
      <c r="B12" s="412"/>
      <c r="C12" s="412"/>
      <c r="D12" s="17"/>
      <c r="E12" s="413"/>
      <c r="F12" s="413"/>
      <c r="G12" s="413"/>
      <c r="H12" s="409" t="s">
        <v>40</v>
      </c>
      <c r="I12" s="409"/>
      <c r="K12" s="55" t="s">
        <v>41</v>
      </c>
      <c r="L12" s="56" t="s">
        <v>18</v>
      </c>
      <c r="M12" s="57" t="s">
        <v>42</v>
      </c>
    </row>
    <row r="13" spans="1:18" ht="18.75" customHeight="1" x14ac:dyDescent="0.2">
      <c r="A13" s="412"/>
      <c r="B13" s="412"/>
      <c r="C13" s="412"/>
      <c r="D13" s="17"/>
      <c r="E13" s="413"/>
      <c r="F13" s="413"/>
      <c r="G13" s="413"/>
      <c r="H13" s="58" t="s">
        <v>43</v>
      </c>
      <c r="I13" s="59">
        <f>('Detail Data'!E5/'Detail Data'!D5)-1</f>
        <v>5.1648050903990494E-2</v>
      </c>
      <c r="K13" s="60" t="s">
        <v>44</v>
      </c>
      <c r="L13" s="61">
        <f>'Detail Data'!E12</f>
        <v>19.048609178602746</v>
      </c>
      <c r="M13" s="62">
        <f>L13*'Detail Data'!E7</f>
        <v>160.19</v>
      </c>
    </row>
    <row r="14" spans="1:18" ht="18.75" customHeight="1" x14ac:dyDescent="0.2">
      <c r="A14" s="412"/>
      <c r="B14" s="412"/>
      <c r="C14" s="412"/>
      <c r="D14" s="17"/>
      <c r="E14" s="413"/>
      <c r="F14" s="413"/>
      <c r="G14" s="413"/>
      <c r="H14" s="58" t="s">
        <v>45</v>
      </c>
      <c r="I14" s="59">
        <f>'Detail Data'!F5/'Detail Data'!E5-1</f>
        <v>2.4966453868987104E-2</v>
      </c>
      <c r="K14" s="58" t="s">
        <v>46</v>
      </c>
      <c r="L14" s="63">
        <f>'Detail Data'!F12</f>
        <v>16.383068181818182</v>
      </c>
      <c r="M14" s="64">
        <f>L13*'Detail Data'!F7</f>
        <v>186.25306752411572</v>
      </c>
    </row>
    <row r="15" spans="1:18" ht="18.75" customHeight="1" x14ac:dyDescent="0.2">
      <c r="A15" s="409" t="s">
        <v>47</v>
      </c>
      <c r="B15" s="409"/>
      <c r="C15" s="409"/>
      <c r="D15" s="17"/>
      <c r="E15" s="409" t="s">
        <v>48</v>
      </c>
      <c r="F15" s="409"/>
      <c r="G15" s="409"/>
      <c r="H15" s="58" t="s">
        <v>49</v>
      </c>
      <c r="I15" s="59">
        <f>(('Detail Data'!G5/'Detail Data'!E5)^(1/2))-1</f>
        <v>2.551120927708328E-2</v>
      </c>
      <c r="K15" s="65" t="s">
        <v>50</v>
      </c>
      <c r="L15" s="66">
        <f>'Detail Data'!G12</f>
        <v>15.453730791121229</v>
      </c>
      <c r="M15" s="67">
        <f>L13*'Detail Data'!G7</f>
        <v>197.45372464191755</v>
      </c>
    </row>
    <row r="16" spans="1:18" ht="18.75" customHeight="1" x14ac:dyDescent="0.2">
      <c r="A16" s="414"/>
      <c r="B16" s="414"/>
      <c r="C16" s="414"/>
      <c r="D16" s="17"/>
      <c r="E16" s="415" t="s">
        <v>51</v>
      </c>
      <c r="F16" s="415"/>
      <c r="G16" s="415"/>
      <c r="H16" s="58" t="s">
        <v>52</v>
      </c>
      <c r="I16" s="59">
        <f>'Detail Data'!E7/'Detail Data'!D7-1</f>
        <v>0.93768153374205343</v>
      </c>
      <c r="K16" s="60" t="s">
        <v>53</v>
      </c>
      <c r="L16" s="68">
        <f>'Detail Data'!E11</f>
        <v>2.6497496035457244</v>
      </c>
      <c r="M16" s="62">
        <f>('Detail Data'!E11*'Detail Data'!E5)/'Detail Data'!E9</f>
        <v>160.19</v>
      </c>
      <c r="N16" s="69" t="s">
        <v>54</v>
      </c>
      <c r="O16" s="70"/>
      <c r="P16" s="70"/>
      <c r="Q16" s="71"/>
      <c r="R16" s="72"/>
    </row>
    <row r="17" spans="1:18" ht="18.75" customHeight="1" x14ac:dyDescent="0.2">
      <c r="A17" s="414"/>
      <c r="B17" s="414"/>
      <c r="C17" s="414"/>
      <c r="D17" s="17"/>
      <c r="E17" s="415"/>
      <c r="F17" s="415"/>
      <c r="G17" s="415"/>
      <c r="H17" s="58" t="s">
        <v>55</v>
      </c>
      <c r="I17" s="59">
        <f>'Detail Data'!F7/'Detail Data'!E7-1</f>
        <v>0.16270096463022488</v>
      </c>
      <c r="K17" s="58" t="s">
        <v>56</v>
      </c>
      <c r="L17" s="63">
        <f>'Detail Data'!F11</f>
        <v>2.5852061728884834</v>
      </c>
      <c r="M17" s="64">
        <f>('Detail Data'!E11*'Detail Data'!F5)/'Detail Data'!F9</f>
        <v>164.18937624527305</v>
      </c>
      <c r="N17" s="73" t="s">
        <v>57</v>
      </c>
      <c r="O17" s="72"/>
      <c r="P17" s="72"/>
      <c r="Q17" s="74"/>
      <c r="R17" s="72"/>
    </row>
    <row r="18" spans="1:18" ht="18.75" customHeight="1" x14ac:dyDescent="0.2">
      <c r="A18" s="414"/>
      <c r="B18" s="414"/>
      <c r="C18" s="414"/>
      <c r="D18" s="17"/>
      <c r="E18" s="415"/>
      <c r="F18" s="415"/>
      <c r="G18" s="415"/>
      <c r="H18" s="65" t="s">
        <v>58</v>
      </c>
      <c r="I18" s="54">
        <f>(('Detail Data'!G7/'Detail Data'!E7)^(1/2))-1</f>
        <v>0.1102351284025751</v>
      </c>
      <c r="K18" s="65" t="s">
        <v>59</v>
      </c>
      <c r="L18" s="66">
        <f>'Detail Data'!G11</f>
        <v>2.5195559817196238</v>
      </c>
      <c r="M18" s="67">
        <f>('Detail Data'!E11*'Detail Data'!G5)/'Detail Data'!G9</f>
        <v>168.4675363721384</v>
      </c>
      <c r="N18" s="69" t="s">
        <v>60</v>
      </c>
      <c r="O18" s="70"/>
      <c r="P18" s="70"/>
      <c r="Q18" s="70"/>
      <c r="R18" s="71"/>
    </row>
    <row r="19" spans="1:18" ht="18.75" customHeight="1" x14ac:dyDescent="0.2">
      <c r="A19" s="411" t="s">
        <v>61</v>
      </c>
      <c r="B19" s="411"/>
      <c r="C19" s="411"/>
      <c r="D19" s="17"/>
      <c r="E19" s="410" t="s">
        <v>62</v>
      </c>
      <c r="F19" s="410"/>
      <c r="G19" s="410"/>
      <c r="H19" s="409" t="s">
        <v>63</v>
      </c>
      <c r="I19" s="409"/>
      <c r="K19" s="60" t="s">
        <v>64</v>
      </c>
      <c r="L19" s="68">
        <f>'Detail Data'!E13</f>
        <v>11.691590392408818</v>
      </c>
      <c r="M19" s="62">
        <f>(('Detail Data'!E13*'Detail Data'!E21)-'Detail Data'!E34+'Detail Data'!E28)/'Detail Data'!E9</f>
        <v>160.19</v>
      </c>
      <c r="N19" s="73" t="s">
        <v>65</v>
      </c>
      <c r="O19" s="72"/>
      <c r="P19" s="72"/>
      <c r="Q19" s="72"/>
      <c r="R19" s="74"/>
    </row>
    <row r="20" spans="1:18" ht="18.75" customHeight="1" x14ac:dyDescent="0.2">
      <c r="A20" s="412" t="s">
        <v>66</v>
      </c>
      <c r="B20" s="412"/>
      <c r="C20" s="412"/>
      <c r="D20" s="17"/>
      <c r="E20" s="416" t="s">
        <v>67</v>
      </c>
      <c r="F20" s="416"/>
      <c r="G20" s="416"/>
      <c r="H20" s="60" t="s">
        <v>68</v>
      </c>
      <c r="I20" s="75">
        <f>'Detail Data'!D17/'Detail Data'!D35</f>
        <v>0.190497757073844</v>
      </c>
      <c r="K20" s="58" t="s">
        <v>69</v>
      </c>
      <c r="L20" s="63">
        <f>'Detail Data'!F13</f>
        <v>10.287920914608993</v>
      </c>
      <c r="M20" s="64">
        <f>(('Detail Data'!E13*'Detail Data'!F21)+'Detail Data'!F28-'Detail Data'!F34)/'Detail Data'!F9</f>
        <v>183.61071521021165</v>
      </c>
      <c r="N20" s="73" t="s">
        <v>70</v>
      </c>
      <c r="O20" s="72"/>
      <c r="P20" s="72"/>
      <c r="Q20" s="72"/>
      <c r="R20" s="74"/>
    </row>
    <row r="21" spans="1:18" ht="18.75" customHeight="1" x14ac:dyDescent="0.2">
      <c r="A21" s="412"/>
      <c r="B21" s="412"/>
      <c r="C21" s="412"/>
      <c r="D21" s="17"/>
      <c r="E21" s="417" t="s">
        <v>71</v>
      </c>
      <c r="F21" s="417"/>
      <c r="G21" s="417"/>
      <c r="H21" s="58" t="s">
        <v>72</v>
      </c>
      <c r="I21" s="59">
        <f>AVERAGE('Detail Data'!D17/'Detail Data'!D35,'Detail Data'!C17/'Detail Data'!C35,'Detail Data'!C18/4099.1)</f>
        <v>0.37193908486677979</v>
      </c>
      <c r="K21" s="65" t="s">
        <v>73</v>
      </c>
      <c r="L21" s="66">
        <f>'Detail Data'!G13</f>
        <v>9.6069849755219181</v>
      </c>
      <c r="M21" s="67">
        <f>(('Detail Data'!E13*'Detail Data'!G21)+'Detail Data'!G28-'Detail Data'!G34)/'Detail Data'!G9</f>
        <v>196.61627616863038</v>
      </c>
      <c r="N21" s="76" t="s">
        <v>74</v>
      </c>
      <c r="O21" s="77"/>
      <c r="P21" s="77"/>
      <c r="Q21" s="77"/>
      <c r="R21" s="78"/>
    </row>
    <row r="22" spans="1:18" ht="18.75" customHeight="1" x14ac:dyDescent="0.2">
      <c r="A22" s="412"/>
      <c r="B22" s="412"/>
      <c r="C22" s="412"/>
      <c r="D22" s="17"/>
      <c r="E22" s="415" t="s">
        <v>75</v>
      </c>
      <c r="F22" s="415"/>
      <c r="G22" s="415"/>
      <c r="H22" s="58" t="s">
        <v>76</v>
      </c>
      <c r="I22" s="59">
        <f>'Detail Data'!D5/'Detail Data'!D30</f>
        <v>0.8509093026132899</v>
      </c>
      <c r="K22" s="60" t="s">
        <v>77</v>
      </c>
      <c r="L22" s="68">
        <f>'Detail Data'!E4/'Detail Data'!E41</f>
        <v>20.726094270194498</v>
      </c>
      <c r="M22" s="62">
        <f>((L22*'Detail Data'!E41)+'Detail Data'!E28-'Detail Data'!E34)/'Detail Data'!E9</f>
        <v>160.19</v>
      </c>
      <c r="N22" s="69" t="s">
        <v>78</v>
      </c>
      <c r="O22" s="70"/>
      <c r="P22" s="70"/>
      <c r="Q22" s="70"/>
      <c r="R22" s="71"/>
    </row>
    <row r="23" spans="1:18" ht="18.75" customHeight="1" x14ac:dyDescent="0.2">
      <c r="A23" s="412"/>
      <c r="B23" s="412"/>
      <c r="C23" s="412"/>
      <c r="D23" s="17"/>
      <c r="E23" s="418" t="s">
        <v>79</v>
      </c>
      <c r="F23" s="418"/>
      <c r="G23" s="418"/>
      <c r="H23" s="58" t="s">
        <v>80</v>
      </c>
      <c r="I23" s="59">
        <f>AVERAGE('Detail Data'!D5/'Detail Data'!D30,'Detail Data'!C5/'Detail Data'!C30,'Detail Data'!C6/11902.9)</f>
        <v>0.88472186776344097</v>
      </c>
      <c r="K23" s="58" t="s">
        <v>81</v>
      </c>
      <c r="L23" s="63">
        <f>'Detail Data'!F4/'Detail Data'!F41</f>
        <v>17.35258983151931</v>
      </c>
      <c r="M23" s="64">
        <f>((L22*'Detail Data'!F41)+'Detail Data'!F28-'Detail Data'!F34)/'Detail Data'!F9</f>
        <v>193.56182045751399</v>
      </c>
      <c r="N23" s="73" t="s">
        <v>82</v>
      </c>
      <c r="O23" s="72"/>
      <c r="P23" s="72"/>
      <c r="Q23" s="72"/>
      <c r="R23" s="74"/>
    </row>
    <row r="24" spans="1:18" ht="18.75" customHeight="1" x14ac:dyDescent="0.2">
      <c r="A24" s="409" t="s">
        <v>83</v>
      </c>
      <c r="B24" s="409"/>
      <c r="C24" s="409"/>
      <c r="D24" s="17"/>
      <c r="E24" s="416" t="s">
        <v>67</v>
      </c>
      <c r="F24" s="416"/>
      <c r="G24" s="416"/>
      <c r="H24" s="58" t="s">
        <v>84</v>
      </c>
      <c r="I24" s="59">
        <f>'Detail Data'!D30/'Detail Data'!D35</f>
        <v>2.9635308833678398</v>
      </c>
      <c r="K24" s="65" t="s">
        <v>85</v>
      </c>
      <c r="L24" s="66">
        <f>'Detail Data'!G4/'Detail Data'!G41</f>
        <v>16.763290294074331</v>
      </c>
      <c r="M24" s="67">
        <f>((L22*'Detail Data'!G41)+'Detail Data'!G28-'Detail Data'!G34)/'Detail Data'!G9</f>
        <v>199.87453991622007</v>
      </c>
      <c r="N24" s="76" t="s">
        <v>86</v>
      </c>
      <c r="O24" s="77"/>
      <c r="P24" s="77"/>
      <c r="Q24" s="77"/>
      <c r="R24" s="78"/>
    </row>
    <row r="25" spans="1:18" ht="18.75" customHeight="1" x14ac:dyDescent="0.2">
      <c r="A25" s="79" t="s">
        <v>87</v>
      </c>
      <c r="B25" s="421" t="s">
        <v>88</v>
      </c>
      <c r="C25" s="421"/>
      <c r="D25" s="17"/>
      <c r="E25" s="417" t="s">
        <v>71</v>
      </c>
      <c r="F25" s="417"/>
      <c r="G25" s="417"/>
      <c r="H25" s="58" t="s">
        <v>89</v>
      </c>
      <c r="I25" s="59">
        <f>AVERAGE('Detail Data'!D30/'Detail Data'!D35,'Detail Data'!C30/'Detail Data'!C35,11902.9/4099.1)</f>
        <v>2.8711284802056016</v>
      </c>
    </row>
    <row r="26" spans="1:18" ht="18.75" customHeight="1" x14ac:dyDescent="0.2">
      <c r="A26" s="79" t="s">
        <v>90</v>
      </c>
      <c r="B26" s="422" t="s">
        <v>91</v>
      </c>
      <c r="C26" s="422"/>
      <c r="D26" s="17"/>
      <c r="E26" s="417" t="s">
        <v>75</v>
      </c>
      <c r="F26" s="417"/>
      <c r="G26" s="417"/>
      <c r="H26" s="58"/>
      <c r="I26" s="59"/>
    </row>
    <row r="27" spans="1:18" ht="18.75" customHeight="1" x14ac:dyDescent="0.2">
      <c r="A27" s="419" t="s">
        <v>92</v>
      </c>
      <c r="B27" s="419"/>
      <c r="C27" s="419"/>
      <c r="D27" s="419"/>
      <c r="E27" s="419"/>
      <c r="F27" s="419"/>
      <c r="G27" s="419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409" t="s">
        <v>93</v>
      </c>
      <c r="I28" s="409"/>
      <c r="K28" s="409" t="s">
        <v>94</v>
      </c>
      <c r="L28" s="409"/>
      <c r="M28" s="409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95</v>
      </c>
      <c r="I29" s="59">
        <f>'Detail Data'!E40/'Detail Data'!E5</f>
        <v>3.5847598910259015E-2</v>
      </c>
      <c r="K29" s="60" t="s">
        <v>96</v>
      </c>
      <c r="L29" s="84"/>
      <c r="M29" s="85">
        <f>'Detail Data'!E12/(1+FrontPage!I16)</f>
        <v>9.8306191429796232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97</v>
      </c>
      <c r="I30" s="59">
        <f>AVERAGE('Detail Data'!E40,'Detail Data'!D40,'Detail Data'!C40)/AVERAGE('Detail Data'!E5,'Detail Data'!D5,'Detail Data'!C5)</f>
        <v>4.2660991037583057E-2</v>
      </c>
      <c r="K30" s="58" t="s">
        <v>98</v>
      </c>
      <c r="L30" s="37"/>
      <c r="M30" s="87">
        <f>'Detail Data'!E11/(1+FrontPage!I13)</f>
        <v>2.5196163310225463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 t="s">
        <v>99</v>
      </c>
      <c r="I31" s="59">
        <f>'Detail Data'!D40/2277.4</f>
        <v>0.19961359444981119</v>
      </c>
      <c r="K31" s="58" t="s">
        <v>100</v>
      </c>
      <c r="M31" s="87">
        <f>'Detail Data'!E13/(('Detail Data'!E21/'Detail Data'!D21))</f>
        <v>7.4931572703744971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 t="s">
        <v>101</v>
      </c>
      <c r="I32" s="59">
        <f>AVERAGE('Detail Data'!D40,'Detail Data'!C40,771.1)/AVERAGE(2277.4,2531.6,2323.2)</f>
        <v>0.25680715627716549</v>
      </c>
      <c r="K32" s="58" t="s">
        <v>102</v>
      </c>
      <c r="M32" s="87">
        <f>L22/('Detail Data'!E41/'Detail Data'!D41)</f>
        <v>4.9960043836862731</v>
      </c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 s="420" t="s">
        <v>103</v>
      </c>
      <c r="I33" s="420"/>
      <c r="J33" s="420"/>
      <c r="K33" s="420"/>
      <c r="L33" s="420"/>
      <c r="M33" s="420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 s="88" t="s">
        <v>104</v>
      </c>
      <c r="I34" s="89">
        <v>2.1</v>
      </c>
      <c r="J34" s="70"/>
      <c r="K34" s="60" t="s">
        <v>105</v>
      </c>
      <c r="L34" s="25"/>
      <c r="M34" s="90">
        <v>31.46</v>
      </c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 s="91" t="s">
        <v>106</v>
      </c>
      <c r="I35" s="92">
        <f>I34/C3</f>
        <v>1.3109432548848244E-2</v>
      </c>
      <c r="J35" s="72"/>
      <c r="K35" s="58" t="s">
        <v>107</v>
      </c>
      <c r="L35" s="93"/>
      <c r="M35" s="94">
        <v>34.49</v>
      </c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 s="91" t="s">
        <v>108</v>
      </c>
      <c r="I36" s="95">
        <v>18.571999999999999</v>
      </c>
      <c r="J36" s="72"/>
      <c r="K36" s="58" t="s">
        <v>109</v>
      </c>
      <c r="L36" s="93"/>
      <c r="M36" s="96">
        <f>M34/I39</f>
        <v>1.43E-2</v>
      </c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 s="91" t="s">
        <v>110</v>
      </c>
      <c r="I37" s="97">
        <v>2210</v>
      </c>
      <c r="J37" s="72"/>
      <c r="K37" s="58" t="s">
        <v>111</v>
      </c>
      <c r="L37" s="93"/>
      <c r="M37" s="98">
        <f>M34/I36</f>
        <v>1.6939478785268147</v>
      </c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 s="91" t="s">
        <v>112</v>
      </c>
      <c r="I38" s="97">
        <f>'Detail Data'!E9</f>
        <v>203.4</v>
      </c>
      <c r="J38" s="72"/>
      <c r="K38" s="99" t="s">
        <v>113</v>
      </c>
      <c r="L38" s="93"/>
      <c r="M38" s="97">
        <v>78865</v>
      </c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 s="58" t="s">
        <v>114</v>
      </c>
      <c r="I39" s="97">
        <v>2200</v>
      </c>
      <c r="J39" s="72"/>
      <c r="K39" s="99" t="s">
        <v>115</v>
      </c>
      <c r="L39" s="93"/>
      <c r="M39" s="100">
        <f>('Detail Data'!E5*1000000)/FrontPage!M38</f>
        <v>155918.34146959995</v>
      </c>
    </row>
    <row r="40" spans="1:13" ht="13.5" customHeight="1" x14ac:dyDescent="0.2">
      <c r="A40" s="101"/>
      <c r="B40" s="102"/>
      <c r="C40" s="102"/>
      <c r="D40" s="102"/>
      <c r="E40" s="102"/>
      <c r="F40" s="102"/>
      <c r="G40" s="103"/>
      <c r="H40" s="65" t="s">
        <v>116</v>
      </c>
      <c r="I40" s="104">
        <f>I39/I38</f>
        <v>10.816125860373647</v>
      </c>
      <c r="J40" s="77"/>
      <c r="K40" s="105"/>
      <c r="L40" s="106"/>
      <c r="M40" s="107"/>
    </row>
    <row r="41" spans="1:13" ht="12.75" customHeight="1" x14ac:dyDescent="0.2">
      <c r="I41" s="108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 t="s">
        <v>117</v>
      </c>
      <c r="I44">
        <v>10</v>
      </c>
      <c r="K44">
        <v>0</v>
      </c>
    </row>
    <row r="45" spans="1:13" ht="12" customHeight="1" x14ac:dyDescent="0.2">
      <c r="H45" t="s">
        <v>118</v>
      </c>
      <c r="I45">
        <v>9</v>
      </c>
      <c r="K45">
        <v>0</v>
      </c>
    </row>
    <row r="46" spans="1:13" ht="12" customHeight="1" x14ac:dyDescent="0.2">
      <c r="H46" t="s">
        <v>119</v>
      </c>
      <c r="I46">
        <f>5*8</f>
        <v>40</v>
      </c>
      <c r="K46">
        <v>0</v>
      </c>
    </row>
    <row r="47" spans="1:13" ht="12" customHeight="1" x14ac:dyDescent="0.2">
      <c r="H47" t="s">
        <v>120</v>
      </c>
      <c r="I47">
        <v>1</v>
      </c>
      <c r="K47">
        <v>0</v>
      </c>
    </row>
    <row r="48" spans="1:13" ht="12" customHeight="1" x14ac:dyDescent="0.2">
      <c r="H48" t="s">
        <v>121</v>
      </c>
      <c r="I48">
        <f>SUM(I44:I47)</f>
        <v>60</v>
      </c>
      <c r="K48">
        <f>SUM(K44:K47)</f>
        <v>0</v>
      </c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5">
    <mergeCell ref="A27:G27"/>
    <mergeCell ref="H28:I28"/>
    <mergeCell ref="K28:M28"/>
    <mergeCell ref="H33:M33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75"/>
  <sheetViews>
    <sheetView topLeftCell="A20" zoomScale="175" zoomScaleNormal="175" workbookViewId="0">
      <selection activeCell="F33" sqref="F33"/>
    </sheetView>
  </sheetViews>
  <sheetFormatPr baseColWidth="10" defaultColWidth="8.6640625" defaultRowHeight="13" x14ac:dyDescent="0.15"/>
  <cols>
    <col min="1" max="1" width="22.1640625" style="93" customWidth="1"/>
    <col min="2" max="3" width="9.6640625" style="93" customWidth="1"/>
    <col min="4" max="4" width="9.5" style="93" customWidth="1"/>
    <col min="5" max="5" width="10.6640625" style="93" customWidth="1"/>
    <col min="6" max="6" width="11.6640625" style="93" customWidth="1"/>
    <col min="7" max="7" width="11" style="93" customWidth="1"/>
    <col min="8" max="8" width="11.5" style="93" customWidth="1"/>
    <col min="9" max="9" width="5" style="93" customWidth="1"/>
    <col min="10" max="10" width="15" style="93" customWidth="1"/>
    <col min="11" max="16384" width="8.6640625" style="93"/>
  </cols>
  <sheetData>
    <row r="1" spans="1:7" ht="12.75" customHeight="1" x14ac:dyDescent="0.15">
      <c r="A1" s="109"/>
      <c r="B1" s="109"/>
      <c r="C1" s="109"/>
      <c r="D1" s="109"/>
    </row>
    <row r="2" spans="1:7" ht="13.5" customHeight="1" thickBot="1" x14ac:dyDescent="0.25">
      <c r="A2" s="45" t="s">
        <v>122</v>
      </c>
      <c r="B2" s="110"/>
      <c r="C2" s="111" t="str">
        <f>(YEAR(FrontPage!$C$4)-2)&amp;"A"</f>
        <v>2024A</v>
      </c>
      <c r="D2" s="111" t="str">
        <f>YEAR(FrontPage!$C$4)-1&amp;"A"</f>
        <v>2025A</v>
      </c>
      <c r="E2" s="112" t="str">
        <f>(YEAR(FrontPage!$C$4))&amp;"F"</f>
        <v>2026F</v>
      </c>
      <c r="F2" s="112" t="str">
        <f>(YEAR(FrontPage!$C$4)+1)&amp;"F"</f>
        <v>2027F</v>
      </c>
      <c r="G2" s="112" t="str">
        <f>(YEAR(FrontPage!$C$4)+2)&amp;"F"</f>
        <v>2028F</v>
      </c>
    </row>
    <row r="3" spans="1:7" ht="12.75" customHeight="1" x14ac:dyDescent="0.15">
      <c r="A3" s="113" t="s">
        <v>123</v>
      </c>
      <c r="B3" s="114"/>
      <c r="C3" s="115">
        <f>C9*FrontPage!$C3</f>
        <v>32598.665000000001</v>
      </c>
      <c r="D3" s="115">
        <f>D9*FrontPage!C3</f>
        <v>32582.646000000001</v>
      </c>
      <c r="E3" s="116">
        <f>E9*FrontPage!C3</f>
        <v>32582.646000000001</v>
      </c>
      <c r="F3" s="116">
        <f>F9*FrontPage!C3</f>
        <v>32582.646000000001</v>
      </c>
      <c r="G3" s="117">
        <f>G9*FrontPage!C3</f>
        <v>32582.646000000001</v>
      </c>
    </row>
    <row r="4" spans="1:7" ht="12.75" customHeight="1" x14ac:dyDescent="0.15">
      <c r="A4" s="118" t="s">
        <v>124</v>
      </c>
      <c r="B4" s="119"/>
      <c r="C4" s="120">
        <f>C3+C34-C28</f>
        <v>35057.965000000004</v>
      </c>
      <c r="D4" s="120">
        <f>D3+D34-D28</f>
        <v>36337.745999999999</v>
      </c>
      <c r="E4" s="120">
        <f>E3+E34-E28</f>
        <v>35485.146000000001</v>
      </c>
      <c r="F4" s="120">
        <f>F3+F34-F28</f>
        <v>34915.146000000001</v>
      </c>
      <c r="G4" s="121">
        <f>G3+G34-G28</f>
        <v>34145.146000000001</v>
      </c>
    </row>
    <row r="5" spans="1:7" ht="12.75" customHeight="1" x14ac:dyDescent="0.15">
      <c r="A5" s="122" t="str">
        <f>CONCATENATE("Revenue (t) - Current FY")</f>
        <v>Revenue (t) - Current FY</v>
      </c>
      <c r="B5" s="123"/>
      <c r="C5" s="124">
        <v>11202.3</v>
      </c>
      <c r="D5" s="124">
        <v>11692.6</v>
      </c>
      <c r="E5" s="124">
        <v>12296.5</v>
      </c>
      <c r="F5" s="124">
        <v>12603.5</v>
      </c>
      <c r="G5" s="126">
        <v>12931.9</v>
      </c>
    </row>
    <row r="6" spans="1:7" ht="12.75" customHeight="1" x14ac:dyDescent="0.15">
      <c r="A6" s="122" t="str">
        <f>CONCATENATE("Revenue (t-1) - Previous FY")</f>
        <v>Revenue (t-1) - Previous FY</v>
      </c>
      <c r="C6" s="124">
        <v>11165</v>
      </c>
      <c r="D6" s="124">
        <v>11202.3</v>
      </c>
      <c r="E6" s="125">
        <f>D5</f>
        <v>11692.6</v>
      </c>
      <c r="F6" s="125">
        <f>E5</f>
        <v>12296.5</v>
      </c>
      <c r="G6" s="128">
        <f>F5</f>
        <v>12603.5</v>
      </c>
    </row>
    <row r="7" spans="1:7" ht="12.75" customHeight="1" x14ac:dyDescent="0.15">
      <c r="A7" s="122" t="str">
        <f>CONCATENATE("FD EPS (t) - Current FY")</f>
        <v>FD EPS (t) - Current FY</v>
      </c>
      <c r="B7" s="123"/>
      <c r="C7" s="129">
        <v>10.92</v>
      </c>
      <c r="D7" s="129">
        <v>4.34</v>
      </c>
      <c r="E7" s="130">
        <f>E17/E9</f>
        <v>8.4095378564405117</v>
      </c>
      <c r="F7" s="130">
        <f t="shared" ref="F7:G7" si="0">F17/F9</f>
        <v>9.7777777777777768</v>
      </c>
      <c r="G7" s="130">
        <f t="shared" si="0"/>
        <v>10.365781710914455</v>
      </c>
    </row>
    <row r="8" spans="1:7" ht="12.75" customHeight="1" x14ac:dyDescent="0.15">
      <c r="A8" s="122" t="str">
        <f>CONCATENATE("FD EPS (t-1) - Previous FY")</f>
        <v>FD EPS (t-1) - Previous FY</v>
      </c>
      <c r="C8" s="129">
        <v>9.06</v>
      </c>
      <c r="D8" s="129">
        <v>10.92</v>
      </c>
      <c r="E8" s="130">
        <f>D7</f>
        <v>4.34</v>
      </c>
      <c r="F8" s="130">
        <f t="shared" ref="F8:G8" si="1">E7</f>
        <v>8.4095378564405117</v>
      </c>
      <c r="G8" s="130">
        <f t="shared" si="1"/>
        <v>9.7777777777777768</v>
      </c>
    </row>
    <row r="9" spans="1:7" ht="13.5" customHeight="1" thickBot="1" x14ac:dyDescent="0.2">
      <c r="A9" s="131" t="s">
        <v>125</v>
      </c>
      <c r="B9" s="132"/>
      <c r="C9" s="133">
        <v>203.5</v>
      </c>
      <c r="D9" s="133">
        <v>203.4</v>
      </c>
      <c r="E9" s="135">
        <f>D9</f>
        <v>203.4</v>
      </c>
      <c r="F9" s="134">
        <f t="shared" ref="F9:G9" si="2">E9</f>
        <v>203.4</v>
      </c>
      <c r="G9" s="136">
        <f t="shared" si="2"/>
        <v>203.4</v>
      </c>
    </row>
    <row r="10" spans="1:7" ht="13.5" customHeight="1" thickBot="1" x14ac:dyDescent="0.2">
      <c r="A10" s="137" t="s">
        <v>126</v>
      </c>
      <c r="B10" s="138"/>
      <c r="C10" s="139" t="str">
        <f t="shared" ref="C10:G10" si="3">C2</f>
        <v>2024A</v>
      </c>
      <c r="D10" s="139" t="str">
        <f t="shared" si="3"/>
        <v>2025A</v>
      </c>
      <c r="E10" s="139" t="str">
        <f t="shared" si="3"/>
        <v>2026F</v>
      </c>
      <c r="F10" s="139" t="str">
        <f t="shared" si="3"/>
        <v>2027F</v>
      </c>
      <c r="G10" s="29" t="str">
        <f t="shared" si="3"/>
        <v>2028F</v>
      </c>
    </row>
    <row r="11" spans="1:7" ht="12.75" customHeight="1" x14ac:dyDescent="0.15">
      <c r="A11" s="140" t="s">
        <v>127</v>
      </c>
      <c r="B11" s="141"/>
      <c r="C11" s="142">
        <f>(FrontPage!$C3*C9)/C5</f>
        <v>2.9099975005132879</v>
      </c>
      <c r="D11" s="142">
        <f>(FrontPage!C3*D9)/D5</f>
        <v>2.7866040059524826</v>
      </c>
      <c r="E11" s="142">
        <f>E3/E5</f>
        <v>2.6497496035457244</v>
      </c>
      <c r="F11" s="142">
        <f t="shared" ref="F11:G11" si="4">F3/F5</f>
        <v>2.5852061728884834</v>
      </c>
      <c r="G11" s="142">
        <f t="shared" si="4"/>
        <v>2.5195559817196238</v>
      </c>
    </row>
    <row r="12" spans="1:7" ht="12.75" customHeight="1" x14ac:dyDescent="0.15">
      <c r="A12" s="143" t="s">
        <v>128</v>
      </c>
      <c r="B12" s="144"/>
      <c r="C12" s="145">
        <f>FrontPage!$C3/C7</f>
        <v>14.66941391941392</v>
      </c>
      <c r="D12" s="145">
        <f>FrontPage!C3/D7</f>
        <v>36.910138248847929</v>
      </c>
      <c r="E12" s="145">
        <f>FrontPage!C3/E7</f>
        <v>19.048609178602746</v>
      </c>
      <c r="F12" s="145">
        <f>FrontPage!$C3/F7</f>
        <v>16.383068181818182</v>
      </c>
      <c r="G12" s="146">
        <f>FrontPage!$C3/G7</f>
        <v>15.453730791121229</v>
      </c>
    </row>
    <row r="13" spans="1:7" ht="12.75" customHeight="1" thickBot="1" x14ac:dyDescent="0.2">
      <c r="A13" s="147" t="s">
        <v>129</v>
      </c>
      <c r="B13" s="148"/>
      <c r="C13" s="145">
        <f t="shared" ref="C13:D13" si="5">C4/C21</f>
        <v>10.454141941255406</v>
      </c>
      <c r="D13" s="145">
        <f t="shared" si="5"/>
        <v>18.68072486119679</v>
      </c>
      <c r="E13" s="145">
        <f>E4/E21</f>
        <v>11.691590392408818</v>
      </c>
      <c r="F13" s="145">
        <f t="shared" ref="F13:G13" si="6">F4/F21</f>
        <v>10.287920914608993</v>
      </c>
      <c r="G13" s="145">
        <f t="shared" si="6"/>
        <v>9.6069849755219181</v>
      </c>
    </row>
    <row r="14" spans="1:7" ht="12.75" customHeight="1" thickBot="1" x14ac:dyDescent="0.2">
      <c r="A14" s="149" t="s">
        <v>130</v>
      </c>
      <c r="B14" s="150"/>
      <c r="C14" s="138" t="str">
        <f>C2</f>
        <v>2024A</v>
      </c>
      <c r="D14" s="138" t="str">
        <f>D2</f>
        <v>2025A</v>
      </c>
      <c r="E14" s="138" t="str">
        <f>E2</f>
        <v>2026F</v>
      </c>
      <c r="F14" s="138" t="str">
        <f>F2</f>
        <v>2027F</v>
      </c>
      <c r="G14" s="151" t="str">
        <f>G2</f>
        <v>2028F</v>
      </c>
    </row>
    <row r="15" spans="1:7" ht="12.75" customHeight="1" x14ac:dyDescent="0.15">
      <c r="A15" s="140" t="s">
        <v>131</v>
      </c>
      <c r="B15" s="141"/>
      <c r="C15" s="152">
        <v>5901.4</v>
      </c>
      <c r="D15" s="152">
        <v>7769.9</v>
      </c>
      <c r="E15" s="152">
        <v>7240.4</v>
      </c>
      <c r="F15" s="152">
        <v>7074.5</v>
      </c>
      <c r="G15" s="152">
        <v>7220.6</v>
      </c>
    </row>
    <row r="16" spans="1:7" ht="12.75" customHeight="1" x14ac:dyDescent="0.15">
      <c r="A16" s="122" t="s">
        <v>132</v>
      </c>
      <c r="B16" s="153"/>
      <c r="C16" s="154">
        <v>2898.2</v>
      </c>
      <c r="D16" s="154">
        <v>1441.5</v>
      </c>
      <c r="E16" s="155">
        <f>E21-E38</f>
        <v>2546.6904971403433</v>
      </c>
      <c r="F16" s="155">
        <f t="shared" ref="F16:G16" si="7">F21-F38</f>
        <v>2835.4752529696439</v>
      </c>
      <c r="G16" s="155">
        <f t="shared" si="7"/>
        <v>2985.2383853937527</v>
      </c>
    </row>
    <row r="17" spans="1:7" ht="12.75" customHeight="1" x14ac:dyDescent="0.15">
      <c r="A17" s="122" t="s">
        <v>133</v>
      </c>
      <c r="B17" s="153"/>
      <c r="C17" s="154">
        <v>2221.1999999999998</v>
      </c>
      <c r="D17" s="154">
        <v>883.3</v>
      </c>
      <c r="E17" s="154">
        <v>1710.5</v>
      </c>
      <c r="F17" s="154">
        <v>1988.8</v>
      </c>
      <c r="G17" s="154">
        <v>2108.4</v>
      </c>
    </row>
    <row r="18" spans="1:7" ht="13.5" customHeight="1" x14ac:dyDescent="0.15">
      <c r="A18" s="122" t="str">
        <f>CONCATENATE("Net Income (t-1) - Previous FY")</f>
        <v>Net Income (t-1) - Previous FY</v>
      </c>
      <c r="C18" s="154">
        <v>1861.8</v>
      </c>
      <c r="D18" s="154">
        <v>2221.1999999999998</v>
      </c>
      <c r="E18" s="155">
        <f>D17</f>
        <v>883.3</v>
      </c>
      <c r="F18" s="155">
        <f>E17</f>
        <v>1710.5</v>
      </c>
      <c r="G18" s="155">
        <f>F17</f>
        <v>1988.8</v>
      </c>
    </row>
    <row r="19" spans="1:7" ht="13.5" customHeight="1" x14ac:dyDescent="0.15">
      <c r="A19" s="122" t="s">
        <v>134</v>
      </c>
      <c r="C19" s="154">
        <v>165.7</v>
      </c>
      <c r="D19" s="154">
        <v>190.2</v>
      </c>
      <c r="E19" s="155">
        <f>'WACC calculation'!$D$13*'Detail Data'!E34</f>
        <v>253.8382</v>
      </c>
      <c r="F19" s="155">
        <f>'WACC calculation'!$D$13*'Detail Data'!F34</f>
        <v>231.33439999999999</v>
      </c>
      <c r="G19" s="155">
        <f>'WACC calculation'!$D$13*'Detail Data'!G34</f>
        <v>202.41759999999999</v>
      </c>
    </row>
    <row r="20" spans="1:7" ht="13.5" customHeight="1" x14ac:dyDescent="0.15">
      <c r="A20" s="122" t="s">
        <v>135</v>
      </c>
      <c r="C20" s="154">
        <v>252.7</v>
      </c>
      <c r="D20" s="154">
        <v>330.9</v>
      </c>
      <c r="E20" s="154">
        <v>597.70000000000005</v>
      </c>
      <c r="F20" s="154">
        <v>689.8</v>
      </c>
      <c r="G20" s="154">
        <v>707.8</v>
      </c>
    </row>
    <row r="21" spans="1:7" ht="12" customHeight="1" thickBot="1" x14ac:dyDescent="0.2">
      <c r="A21" s="157" t="s">
        <v>136</v>
      </c>
      <c r="B21" s="158"/>
      <c r="C21" s="373">
        <f>C16+C38</f>
        <v>3353.5</v>
      </c>
      <c r="D21" s="373">
        <f>D16+D38</f>
        <v>1945.2</v>
      </c>
      <c r="E21" s="373">
        <v>3035.1</v>
      </c>
      <c r="F21" s="373">
        <v>3393.8</v>
      </c>
      <c r="G21" s="374">
        <v>3554.2</v>
      </c>
    </row>
    <row r="22" spans="1:7" ht="12.75" customHeight="1" thickBot="1" x14ac:dyDescent="0.2">
      <c r="A22" s="149" t="s">
        <v>137</v>
      </c>
      <c r="B22" s="150"/>
      <c r="C22" s="139" t="str">
        <f>C2</f>
        <v>2024A</v>
      </c>
      <c r="D22" s="139" t="str">
        <f>D2</f>
        <v>2025A</v>
      </c>
      <c r="E22" s="139" t="str">
        <f>E2</f>
        <v>2026F</v>
      </c>
      <c r="F22" s="139" t="str">
        <f>F2</f>
        <v>2027F</v>
      </c>
      <c r="G22" s="29" t="str">
        <f>G2</f>
        <v>2028F</v>
      </c>
    </row>
    <row r="23" spans="1:7" ht="12.75" customHeight="1" x14ac:dyDescent="0.15">
      <c r="A23" s="140" t="s">
        <v>138</v>
      </c>
      <c r="B23" s="141"/>
      <c r="C23" s="159">
        <f>(C5-C15)/C5</f>
        <v>0.4731974683770297</v>
      </c>
      <c r="D23" s="159">
        <f>(D5-D15)/D5</f>
        <v>0.33548569180507337</v>
      </c>
      <c r="E23" s="159">
        <f>(E5-E15)/E5</f>
        <v>0.41118204367096334</v>
      </c>
      <c r="F23" s="159">
        <f>(F5-F15)/F5</f>
        <v>0.43868766612448923</v>
      </c>
      <c r="G23" s="160">
        <f>(G5-G15)/G5</f>
        <v>0.44164430594112231</v>
      </c>
    </row>
    <row r="24" spans="1:7" ht="12.75" customHeight="1" x14ac:dyDescent="0.15">
      <c r="A24" s="147" t="s">
        <v>139</v>
      </c>
      <c r="B24" s="148"/>
      <c r="C24" s="161">
        <f>C16/C5</f>
        <v>0.25871472822545372</v>
      </c>
      <c r="D24" s="161">
        <f>D16/D5</f>
        <v>0.12328310213297299</v>
      </c>
      <c r="E24" s="161">
        <f>E16/E5</f>
        <v>0.2071069407669128</v>
      </c>
      <c r="F24" s="161">
        <f>F16/F5</f>
        <v>0.22497522537149553</v>
      </c>
      <c r="G24" s="162">
        <f>G16/G5</f>
        <v>0.23084298404671802</v>
      </c>
    </row>
    <row r="25" spans="1:7" ht="12.75" customHeight="1" x14ac:dyDescent="0.15">
      <c r="A25" s="147" t="s">
        <v>140</v>
      </c>
      <c r="C25" s="161">
        <f>C17/C5</f>
        <v>0.1982807102112959</v>
      </c>
      <c r="D25" s="161">
        <f>D17/D5</f>
        <v>7.5543506149188366E-2</v>
      </c>
      <c r="E25" s="161">
        <f>E17/E5</f>
        <v>0.13910462326678322</v>
      </c>
      <c r="F25" s="161">
        <f>F17/F5</f>
        <v>0.1577974372198199</v>
      </c>
      <c r="G25" s="162">
        <f>G17/G5</f>
        <v>0.16303868727719825</v>
      </c>
    </row>
    <row r="26" spans="1:7" ht="12.75" customHeight="1" thickBot="1" x14ac:dyDescent="0.2">
      <c r="A26" s="163" t="s">
        <v>141</v>
      </c>
      <c r="B26" s="164"/>
      <c r="C26" s="165">
        <f>C21/C5</f>
        <v>0.29935816751917022</v>
      </c>
      <c r="D26" s="165">
        <f>D21/D5</f>
        <v>0.16636163043292337</v>
      </c>
      <c r="E26" s="165">
        <f>E21/E5</f>
        <v>0.2468263326962957</v>
      </c>
      <c r="F26" s="165">
        <f>F21/F5</f>
        <v>0.26927440790256674</v>
      </c>
      <c r="G26" s="166">
        <f>G21/G5</f>
        <v>0.27483973739357714</v>
      </c>
    </row>
    <row r="27" spans="1:7" ht="12.75" customHeight="1" thickBot="1" x14ac:dyDescent="0.2">
      <c r="A27" s="167" t="s">
        <v>142</v>
      </c>
      <c r="B27" s="168"/>
      <c r="C27" s="139" t="str">
        <f>C2</f>
        <v>2024A</v>
      </c>
      <c r="D27" s="139" t="str">
        <f>D2</f>
        <v>2025A</v>
      </c>
      <c r="E27" s="139" t="str">
        <f>E2</f>
        <v>2026F</v>
      </c>
      <c r="F27" s="139" t="str">
        <f>F2</f>
        <v>2027F</v>
      </c>
      <c r="G27" s="29" t="str">
        <f>G2</f>
        <v>2028F</v>
      </c>
    </row>
    <row r="28" spans="1:7" ht="12.75" customHeight="1" x14ac:dyDescent="0.15">
      <c r="A28" s="140" t="s">
        <v>143</v>
      </c>
      <c r="B28" s="141"/>
      <c r="C28" s="152">
        <v>730.7</v>
      </c>
      <c r="D28" s="152">
        <v>925.9</v>
      </c>
      <c r="E28" s="152">
        <v>1451.5</v>
      </c>
      <c r="F28" s="152">
        <v>1635.5</v>
      </c>
      <c r="G28" s="152">
        <v>1909.5</v>
      </c>
    </row>
    <row r="29" spans="1:7" ht="12.75" customHeight="1" x14ac:dyDescent="0.15">
      <c r="A29" s="143" t="s">
        <v>144</v>
      </c>
      <c r="B29" s="144"/>
      <c r="C29" s="169">
        <f>C28/C9</f>
        <v>3.5906633906633907</v>
      </c>
      <c r="D29" s="169">
        <f>D28/D9</f>
        <v>4.5521140609636186</v>
      </c>
      <c r="E29" s="169">
        <f>E28/E9</f>
        <v>7.1361848574237952</v>
      </c>
      <c r="F29" s="169">
        <f>F28/F9</f>
        <v>8.040806293018683</v>
      </c>
      <c r="G29" s="170">
        <f>G28/G9</f>
        <v>9.387905604719764</v>
      </c>
    </row>
    <row r="30" spans="1:7" ht="12.75" customHeight="1" x14ac:dyDescent="0.15">
      <c r="A30" s="143" t="s">
        <v>145</v>
      </c>
      <c r="B30" s="144"/>
      <c r="C30" s="375">
        <v>12946.9</v>
      </c>
      <c r="D30" s="375">
        <v>13741.3</v>
      </c>
      <c r="E30" s="375">
        <v>13983.3</v>
      </c>
      <c r="F30" s="375">
        <v>14093.3</v>
      </c>
      <c r="G30" s="376">
        <v>14406</v>
      </c>
    </row>
    <row r="31" spans="1:7" ht="12.75" customHeight="1" x14ac:dyDescent="0.15">
      <c r="A31" s="147" t="s">
        <v>146</v>
      </c>
      <c r="B31" s="148"/>
      <c r="C31" s="154">
        <v>3759.5</v>
      </c>
      <c r="D31" s="154">
        <v>3588.9</v>
      </c>
      <c r="E31" s="154">
        <v>4123</v>
      </c>
      <c r="F31" s="154">
        <v>4242</v>
      </c>
      <c r="G31" s="154">
        <v>4541</v>
      </c>
    </row>
    <row r="32" spans="1:7" ht="12.75" customHeight="1" x14ac:dyDescent="0.15">
      <c r="A32" s="147" t="s">
        <v>147</v>
      </c>
      <c r="B32" s="148"/>
      <c r="C32" s="154">
        <v>3929.5</v>
      </c>
      <c r="D32" s="154">
        <v>3011.9</v>
      </c>
      <c r="E32" s="154">
        <v>3261.5</v>
      </c>
      <c r="F32" s="154">
        <v>3192.5</v>
      </c>
      <c r="G32" s="154">
        <v>3195.5</v>
      </c>
    </row>
    <row r="33" spans="1:7" ht="12.75" customHeight="1" x14ac:dyDescent="0.15">
      <c r="A33" s="147" t="s">
        <v>148</v>
      </c>
      <c r="B33" s="148"/>
      <c r="C33" s="155">
        <f t="shared" ref="C33:G33" si="8">C31-C32</f>
        <v>-170</v>
      </c>
      <c r="D33" s="155">
        <f>D31-D32</f>
        <v>577</v>
      </c>
      <c r="E33" s="155">
        <f t="shared" si="8"/>
        <v>861.5</v>
      </c>
      <c r="F33" s="155">
        <f t="shared" si="8"/>
        <v>1049.5</v>
      </c>
      <c r="G33" s="156">
        <f t="shared" si="8"/>
        <v>1345.5</v>
      </c>
    </row>
    <row r="34" spans="1:7" ht="12.75" customHeight="1" x14ac:dyDescent="0.15">
      <c r="A34" s="147" t="s">
        <v>149</v>
      </c>
      <c r="C34" s="154">
        <v>3190</v>
      </c>
      <c r="D34" s="154">
        <v>4681</v>
      </c>
      <c r="E34" s="375">
        <v>4354</v>
      </c>
      <c r="F34" s="375">
        <v>3968</v>
      </c>
      <c r="G34" s="376">
        <v>3472</v>
      </c>
    </row>
    <row r="35" spans="1:7" ht="12.75" customHeight="1" thickBot="1" x14ac:dyDescent="0.2">
      <c r="A35" s="163" t="s">
        <v>150</v>
      </c>
      <c r="B35" s="106"/>
      <c r="C35" s="172">
        <v>4714.7</v>
      </c>
      <c r="D35" s="172">
        <v>4636.8</v>
      </c>
      <c r="E35" s="373">
        <v>4780</v>
      </c>
      <c r="F35" s="373">
        <v>5092</v>
      </c>
      <c r="G35" s="374">
        <v>5461</v>
      </c>
    </row>
    <row r="36" spans="1:7" ht="12.75" customHeight="1" thickBot="1" x14ac:dyDescent="0.2">
      <c r="A36" s="167" t="s">
        <v>151</v>
      </c>
      <c r="B36" s="168"/>
      <c r="C36" s="139" t="str">
        <f>C2</f>
        <v>2024A</v>
      </c>
      <c r="D36" s="139" t="str">
        <f>D2</f>
        <v>2025A</v>
      </c>
      <c r="E36" s="139" t="str">
        <f>E2</f>
        <v>2026F</v>
      </c>
      <c r="F36" s="139" t="str">
        <f>F2</f>
        <v>2027F</v>
      </c>
      <c r="G36" s="29" t="str">
        <f>G2</f>
        <v>2028F</v>
      </c>
    </row>
    <row r="37" spans="1:7" x14ac:dyDescent="0.15">
      <c r="A37" s="93" t="s">
        <v>152</v>
      </c>
      <c r="C37" s="155">
        <f>C16*(1-C20/C16)</f>
        <v>2645.4999999999995</v>
      </c>
      <c r="D37" s="155">
        <f t="shared" ref="D37:G37" si="9">D16*(1-D20/D16)</f>
        <v>1110.5999999999999</v>
      </c>
      <c r="E37" s="155">
        <f t="shared" si="9"/>
        <v>1948.9904971403432</v>
      </c>
      <c r="F37" s="155">
        <f t="shared" si="9"/>
        <v>2145.6752529696437</v>
      </c>
      <c r="G37" s="155">
        <f t="shared" si="9"/>
        <v>2277.4383853937525</v>
      </c>
    </row>
    <row r="38" spans="1:7" ht="12.75" customHeight="1" x14ac:dyDescent="0.15">
      <c r="A38" s="147" t="s">
        <v>153</v>
      </c>
      <c r="B38" s="148"/>
      <c r="C38" s="154">
        <v>455.3</v>
      </c>
      <c r="D38" s="154">
        <v>503.7</v>
      </c>
      <c r="E38" s="155">
        <f>D38/D40*E40</f>
        <v>488.40950285965675</v>
      </c>
      <c r="F38" s="155">
        <f>E38/E40*F40</f>
        <v>558.32474703035621</v>
      </c>
      <c r="G38" s="155">
        <f>F38/F40*G40</f>
        <v>568.96161460624717</v>
      </c>
    </row>
    <row r="39" spans="1:7" ht="12.75" customHeight="1" x14ac:dyDescent="0.15">
      <c r="A39" s="147" t="s">
        <v>154</v>
      </c>
      <c r="C39" s="154"/>
      <c r="D39" s="154">
        <f>D33-C33</f>
        <v>747</v>
      </c>
      <c r="E39" s="155">
        <f t="shared" ref="E39:G39" si="10">E33-D33</f>
        <v>284.5</v>
      </c>
      <c r="F39" s="155">
        <f t="shared" si="10"/>
        <v>188</v>
      </c>
      <c r="G39" s="155">
        <f t="shared" si="10"/>
        <v>296</v>
      </c>
    </row>
    <row r="40" spans="1:7" ht="12.75" customHeight="1" x14ac:dyDescent="0.15">
      <c r="A40" s="147" t="s">
        <v>155</v>
      </c>
      <c r="B40" s="148"/>
      <c r="C40" s="154">
        <v>605.9</v>
      </c>
      <c r="D40" s="154">
        <v>454.6</v>
      </c>
      <c r="E40" s="375">
        <v>440.8</v>
      </c>
      <c r="F40" s="375">
        <v>503.9</v>
      </c>
      <c r="G40" s="375">
        <v>513.5</v>
      </c>
    </row>
    <row r="41" spans="1:7" ht="12.75" customHeight="1" x14ac:dyDescent="0.15">
      <c r="A41" s="147" t="s">
        <v>156</v>
      </c>
      <c r="B41" s="147" t="s">
        <v>157</v>
      </c>
      <c r="D41" s="155">
        <f>D37+D38-D39-D40</f>
        <v>412.69999999999993</v>
      </c>
      <c r="E41" s="155">
        <f t="shared" ref="E41:G41" si="11">E37+E38-E39-E40</f>
        <v>1712.1000000000001</v>
      </c>
      <c r="F41" s="155">
        <f t="shared" si="11"/>
        <v>2012.1</v>
      </c>
      <c r="G41" s="155">
        <f t="shared" si="11"/>
        <v>2036.8999999999996</v>
      </c>
    </row>
    <row r="42" spans="1:7" ht="12.75" customHeight="1" x14ac:dyDescent="0.15">
      <c r="A42" s="147" t="s">
        <v>158</v>
      </c>
      <c r="B42" s="147" t="s">
        <v>159</v>
      </c>
      <c r="D42" s="155">
        <f>D41+D19*(1-'DCF 1-Pager'!D25)+'Detail Data'!D34-'Detail Data'!C34</f>
        <v>2022.6476734971129</v>
      </c>
      <c r="E42" s="155">
        <f>E41+E19*(1-'DCF 1-Pager'!E25)+'Detail Data'!E34-'Detail Data'!D34</f>
        <v>1566.5943129999996</v>
      </c>
      <c r="F42" s="155">
        <f>F41+F19*(1-'DCF 1-Pager'!F25)+'Detail Data'!F34-'Detail Data'!E34</f>
        <v>1792.6607679999997</v>
      </c>
      <c r="G42" s="155">
        <f>G41+G19*(1-'DCF 1-Pager'!G25)+'Detail Data'!G34-'Detail Data'!F34</f>
        <v>1687.652759999999</v>
      </c>
    </row>
    <row r="43" spans="1:7" ht="12.75" customHeight="1" x14ac:dyDescent="0.15"/>
    <row r="44" spans="1:7" ht="12.75" customHeight="1" x14ac:dyDescent="0.15">
      <c r="A44" s="93" t="s">
        <v>160</v>
      </c>
      <c r="D44" s="371">
        <f>(D33+D40)/D17</f>
        <v>1.1678931280425675</v>
      </c>
      <c r="E44" s="371">
        <f t="shared" ref="E44:G44" si="12">(E33+E40)/E17</f>
        <v>0.7613563285589009</v>
      </c>
      <c r="F44" s="371">
        <f t="shared" si="12"/>
        <v>0.78107401448109415</v>
      </c>
      <c r="G44" s="371">
        <f t="shared" si="12"/>
        <v>0.88171125023714658</v>
      </c>
    </row>
    <row r="45" spans="1:7" ht="12.75" customHeight="1" x14ac:dyDescent="0.15">
      <c r="A45" s="93" t="s">
        <v>161</v>
      </c>
      <c r="C45" s="371">
        <f>C34/C3</f>
        <v>9.7856768060900656E-2</v>
      </c>
      <c r="D45" s="371">
        <f>D34/D3</f>
        <v>0.14366543466113832</v>
      </c>
      <c r="E45" s="371">
        <f t="shared" ref="E45:G45" si="13">E34/E3</f>
        <v>0.13362941732847602</v>
      </c>
      <c r="F45" s="371">
        <f t="shared" si="13"/>
        <v>0.121782620110104</v>
      </c>
      <c r="G45" s="371">
        <f t="shared" si="13"/>
        <v>0.106559792596341</v>
      </c>
    </row>
    <row r="46" spans="1:7" ht="12.75" customHeight="1" x14ac:dyDescent="0.15">
      <c r="A46" s="93" t="s">
        <v>68</v>
      </c>
      <c r="D46" s="371">
        <f>D17/D35</f>
        <v>0.190497757073844</v>
      </c>
      <c r="E46" s="371">
        <f t="shared" ref="E46:G46" si="14">E17/E35</f>
        <v>0.35784518828451883</v>
      </c>
      <c r="F46" s="371">
        <f t="shared" si="14"/>
        <v>0.39057344854673998</v>
      </c>
      <c r="G46" s="371">
        <f t="shared" si="14"/>
        <v>0.38608313495696761</v>
      </c>
    </row>
    <row r="47" spans="1:7" ht="12.75" customHeight="1" x14ac:dyDescent="0.15">
      <c r="A47" s="93" t="s">
        <v>162</v>
      </c>
      <c r="D47" s="371">
        <f>D16*(1-'DCF 1-Pager'!D25)/(C34+C35-C28)</f>
        <v>0.12566047986851142</v>
      </c>
      <c r="E47" s="371">
        <f>E16*(1-'DCF 1-Pager'!E25)/(D34+D35-D28)</f>
        <v>0.21698110147348582</v>
      </c>
      <c r="F47" s="371">
        <f>F16*(1-'DCF 1-Pager'!F25)/(E34+E35-E28)</f>
        <v>0.26573930128709972</v>
      </c>
      <c r="G47" s="371">
        <f>G16*(1-'DCF 1-Pager'!G25)/(F34+F35-F28)</f>
        <v>0.29150755329119415</v>
      </c>
    </row>
    <row r="48" spans="1:7" ht="12.75" customHeight="1" x14ac:dyDescent="0.15"/>
    <row r="49" spans="1:7" ht="12.75" customHeight="1" x14ac:dyDescent="0.15">
      <c r="A49" s="93" t="s">
        <v>163</v>
      </c>
      <c r="D49" s="371">
        <f>D46*D44</f>
        <v>0.22248102139406481</v>
      </c>
      <c r="E49" s="371">
        <f t="shared" ref="E49:G49" si="15">E46*E44</f>
        <v>0.27244769874476987</v>
      </c>
      <c r="F49" s="371">
        <f t="shared" si="15"/>
        <v>0.30506677140612726</v>
      </c>
      <c r="G49" s="371">
        <f t="shared" si="15"/>
        <v>0.34041384361838489</v>
      </c>
    </row>
    <row r="50" spans="1:7" ht="12.75" customHeight="1" x14ac:dyDescent="0.15">
      <c r="A50" s="93" t="s">
        <v>164</v>
      </c>
      <c r="D50" s="371">
        <f>D47*D44</f>
        <v>0.14675801090496587</v>
      </c>
      <c r="E50" s="371">
        <f t="shared" ref="E50:G50" si="16">E47*E44</f>
        <v>0.16519993478451947</v>
      </c>
      <c r="F50" s="371">
        <f t="shared" si="16"/>
        <v>0.20756206286171597</v>
      </c>
      <c r="G50" s="371">
        <f t="shared" si="16"/>
        <v>0.25702548926595042</v>
      </c>
    </row>
    <row r="51" spans="1:7" ht="12.75" customHeight="1" x14ac:dyDescent="0.15"/>
    <row r="52" spans="1:7" ht="12.75" customHeight="1" x14ac:dyDescent="0.15">
      <c r="A52" s="93" t="s">
        <v>165</v>
      </c>
      <c r="B52" s="93">
        <v>0.03</v>
      </c>
    </row>
    <row r="53" spans="1:7" ht="12.75" customHeight="1" x14ac:dyDescent="0.15">
      <c r="A53" s="93" t="s">
        <v>166</v>
      </c>
      <c r="D53" s="371">
        <f>$B$52/D46</f>
        <v>0.15748216913845808</v>
      </c>
      <c r="E53" s="371">
        <f t="shared" ref="E53:G54" si="17">$B$52/E46</f>
        <v>8.3835135925168072E-2</v>
      </c>
      <c r="F53" s="371">
        <f t="shared" si="17"/>
        <v>7.6810136765888978E-2</v>
      </c>
      <c r="G53" s="371">
        <f t="shared" si="17"/>
        <v>7.7703471826977802E-2</v>
      </c>
    </row>
    <row r="54" spans="1:7" ht="12.75" customHeight="1" x14ac:dyDescent="0.15">
      <c r="A54" s="93" t="s">
        <v>167</v>
      </c>
      <c r="D54" s="371">
        <f>$B$52/D47</f>
        <v>0.23873854398289257</v>
      </c>
      <c r="E54" s="371">
        <f t="shared" si="17"/>
        <v>0.13826088906487496</v>
      </c>
      <c r="F54" s="371">
        <f t="shared" si="17"/>
        <v>0.11289259757475077</v>
      </c>
      <c r="G54" s="371">
        <f t="shared" si="17"/>
        <v>0.10291328530356211</v>
      </c>
    </row>
    <row r="55" spans="1:7" ht="12.75" customHeight="1" x14ac:dyDescent="0.15"/>
    <row r="56" spans="1:7" ht="12.75" customHeight="1" x14ac:dyDescent="0.15">
      <c r="D56" s="171"/>
      <c r="F56" s="148"/>
      <c r="G56" s="173"/>
    </row>
    <row r="57" spans="1:7" ht="12.75" customHeight="1" x14ac:dyDescent="0.15">
      <c r="D57" s="171"/>
      <c r="F57" s="148"/>
      <c r="G57" s="174"/>
    </row>
    <row r="58" spans="1:7" ht="12.75" customHeight="1" x14ac:dyDescent="0.15">
      <c r="D58" s="171"/>
      <c r="F58" s="148"/>
      <c r="G58" s="175"/>
    </row>
    <row r="59" spans="1:7" ht="12.75" customHeight="1" x14ac:dyDescent="0.15">
      <c r="D59" s="171"/>
      <c r="F59" s="148"/>
      <c r="G59" s="176"/>
    </row>
    <row r="60" spans="1:7" ht="12.75" customHeight="1" x14ac:dyDescent="0.15">
      <c r="D60" s="171"/>
      <c r="F60" s="148"/>
      <c r="G60" s="176"/>
    </row>
    <row r="61" spans="1:7" ht="12.75" customHeight="1" x14ac:dyDescent="0.15">
      <c r="D61" s="171"/>
      <c r="F61" s="148"/>
      <c r="G61" s="176"/>
    </row>
    <row r="62" spans="1:7" ht="12.75" customHeight="1" x14ac:dyDescent="0.15">
      <c r="D62" s="177"/>
      <c r="F62" s="148"/>
      <c r="G62" s="176"/>
    </row>
    <row r="63" spans="1:7" ht="12.75" customHeight="1" x14ac:dyDescent="0.15"/>
    <row r="64" spans="1:7" ht="12.75" customHeight="1" x14ac:dyDescent="0.15">
      <c r="A64" s="178"/>
    </row>
    <row r="65" spans="1:1" ht="12.75" customHeight="1" x14ac:dyDescent="0.15">
      <c r="A65" s="178"/>
    </row>
    <row r="66" spans="1:1" ht="12.75" customHeight="1" x14ac:dyDescent="0.15">
      <c r="A66" s="178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AQ156"/>
  <sheetViews>
    <sheetView topLeftCell="A86" zoomScaleNormal="100" workbookViewId="0">
      <selection activeCell="X7" sqref="X7"/>
    </sheetView>
  </sheetViews>
  <sheetFormatPr baseColWidth="10" defaultColWidth="8" defaultRowHeight="15" x14ac:dyDescent="0.2"/>
  <cols>
    <col min="1" max="1" width="1.1640625" style="191" customWidth="1"/>
    <col min="2" max="2" width="47.6640625" style="191" customWidth="1"/>
    <col min="3" max="3" width="23.83203125" style="191" customWidth="1"/>
    <col min="4" max="9" width="11.1640625" style="191" customWidth="1"/>
    <col min="10" max="10" width="1.5" style="191" customWidth="1"/>
    <col min="11" max="11" width="10.6640625" style="191" bestFit="1" customWidth="1"/>
    <col min="12" max="12" width="8.1640625" style="191" customWidth="1"/>
    <col min="13" max="13" width="20" style="191" bestFit="1" customWidth="1"/>
    <col min="14" max="14" width="22.5" style="191" bestFit="1" customWidth="1"/>
    <col min="15" max="16" width="8.1640625" style="191" customWidth="1"/>
    <col min="17" max="17" width="8" style="191"/>
    <col min="18" max="18" width="12.6640625" style="191" customWidth="1"/>
    <col min="19" max="19" width="9.33203125" style="191" bestFit="1" customWidth="1"/>
    <col min="20" max="20" width="10.6640625" style="191" bestFit="1" customWidth="1"/>
    <col min="21" max="21" width="17" style="191" bestFit="1" customWidth="1"/>
    <col min="22" max="22" width="11.1640625" style="191" bestFit="1" customWidth="1"/>
    <col min="23" max="23" width="13.6640625" style="191" bestFit="1" customWidth="1"/>
    <col min="24" max="24" width="18" style="191" bestFit="1" customWidth="1"/>
    <col min="25" max="41" width="8" style="191"/>
    <col min="42" max="42" width="14.5" style="191" customWidth="1"/>
    <col min="43" max="43" width="12.1640625" style="191" bestFit="1" customWidth="1"/>
    <col min="44" max="46" width="22" style="191" bestFit="1" customWidth="1"/>
    <col min="47" max="47" width="18.5" style="191" bestFit="1" customWidth="1"/>
    <col min="48" max="48" width="13.6640625" style="191" bestFit="1" customWidth="1"/>
    <col min="49" max="16384" width="8" style="191"/>
  </cols>
  <sheetData>
    <row r="1" spans="2:24" ht="16" thickBot="1" x14ac:dyDescent="0.25"/>
    <row r="2" spans="2:24" ht="16" thickBot="1" x14ac:dyDescent="0.25">
      <c r="B2" s="192" t="s">
        <v>168</v>
      </c>
      <c r="C2" s="193"/>
      <c r="D2" s="193"/>
      <c r="E2" s="193"/>
      <c r="F2" s="193"/>
      <c r="G2" s="193"/>
      <c r="H2" s="193"/>
      <c r="I2" s="193"/>
    </row>
    <row r="3" spans="2:24" ht="21" x14ac:dyDescent="0.25">
      <c r="B3" s="194" t="s">
        <v>169</v>
      </c>
      <c r="L3" s="426" t="s">
        <v>170</v>
      </c>
      <c r="M3" s="427"/>
      <c r="N3" s="428"/>
      <c r="R3" s="429" t="s">
        <v>171</v>
      </c>
      <c r="S3" s="430"/>
      <c r="T3" s="430"/>
      <c r="U3" s="430"/>
      <c r="V3" s="430"/>
      <c r="W3" s="430"/>
      <c r="X3" s="431"/>
    </row>
    <row r="4" spans="2:24" ht="21" x14ac:dyDescent="0.25">
      <c r="B4" s="191" t="s">
        <v>172</v>
      </c>
      <c r="D4" s="191" t="str">
        <f>FrontPage!A1</f>
        <v>Hershey Company</v>
      </c>
      <c r="L4" s="362"/>
      <c r="M4" s="424" t="s">
        <v>173</v>
      </c>
      <c r="N4" s="425"/>
      <c r="R4" s="379"/>
      <c r="S4" s="390"/>
      <c r="T4" s="390" t="s">
        <v>174</v>
      </c>
      <c r="U4" s="390" t="s">
        <v>175</v>
      </c>
      <c r="V4" s="390" t="s">
        <v>176</v>
      </c>
      <c r="W4" s="390" t="s">
        <v>177</v>
      </c>
      <c r="X4" s="380" t="s">
        <v>178</v>
      </c>
    </row>
    <row r="5" spans="2:24" ht="22" thickBot="1" x14ac:dyDescent="0.3">
      <c r="B5" s="191" t="s">
        <v>179</v>
      </c>
      <c r="D5" s="191" t="str">
        <f>FrontPage!C2</f>
        <v>HSY</v>
      </c>
      <c r="L5" s="366"/>
      <c r="M5" s="369" t="s">
        <v>180</v>
      </c>
      <c r="N5" s="370" t="s">
        <v>181</v>
      </c>
      <c r="R5" s="379" t="s">
        <v>182</v>
      </c>
      <c r="S5" s="394">
        <f>'Relative Valuation'!D7</f>
        <v>25</v>
      </c>
      <c r="T5" s="390">
        <f>G26</f>
        <v>2164.2978294104705</v>
      </c>
      <c r="U5" s="390">
        <f>T5*S5</f>
        <v>54107.445735261761</v>
      </c>
      <c r="V5" s="390"/>
      <c r="W5" s="393">
        <f>I65</f>
        <v>207.15437400000002</v>
      </c>
      <c r="X5" s="381">
        <f>U5/W5</f>
        <v>261.19383670489987</v>
      </c>
    </row>
    <row r="6" spans="2:24" ht="21" x14ac:dyDescent="0.25">
      <c r="B6" s="191" t="s">
        <v>183</v>
      </c>
      <c r="D6" s="195">
        <v>46022</v>
      </c>
      <c r="F6" s="191" t="s">
        <v>184</v>
      </c>
      <c r="H6" s="196">
        <f>'WACC calculation'!D16</f>
        <v>6.7806502134778832E-2</v>
      </c>
      <c r="L6" s="363"/>
      <c r="M6" s="360"/>
      <c r="N6" s="364"/>
      <c r="R6" s="379" t="s">
        <v>129</v>
      </c>
      <c r="S6" s="394">
        <f>'Relative Valuation'!C7</f>
        <v>18.87</v>
      </c>
      <c r="T6" s="390">
        <f>G19</f>
        <v>3554.2</v>
      </c>
      <c r="U6" s="390">
        <f>T6*S6</f>
        <v>67067.754000000001</v>
      </c>
      <c r="V6" s="390">
        <f>U6-C69</f>
        <v>63312.654000000002</v>
      </c>
      <c r="W6" s="393">
        <f>W5</f>
        <v>207.15437400000002</v>
      </c>
      <c r="X6" s="381">
        <f>U6/W6</f>
        <v>323.75736367507255</v>
      </c>
    </row>
    <row r="7" spans="2:24" ht="21" x14ac:dyDescent="0.25">
      <c r="B7" s="191" t="s">
        <v>185</v>
      </c>
      <c r="D7" s="197">
        <f>EOMONTH(D6,12)</f>
        <v>46387</v>
      </c>
      <c r="F7" s="191" t="s">
        <v>186</v>
      </c>
      <c r="H7" s="198">
        <f>FrontPage!C3</f>
        <v>160.19</v>
      </c>
      <c r="L7" s="362" t="s">
        <v>187</v>
      </c>
      <c r="M7" s="361">
        <f>C77</f>
        <v>218.58988139319837</v>
      </c>
      <c r="N7" s="365">
        <f>D77</f>
        <v>193.02286141537462</v>
      </c>
      <c r="R7" s="391" t="s">
        <v>188</v>
      </c>
      <c r="S7" s="394">
        <f>'Relative Valuation'!E7</f>
        <v>3.42</v>
      </c>
      <c r="T7" s="392">
        <f>G17</f>
        <v>12931.9</v>
      </c>
      <c r="U7" s="392">
        <f>T7*S7</f>
        <v>44227.097999999998</v>
      </c>
      <c r="V7" s="392">
        <f>U7-C69</f>
        <v>40471.998</v>
      </c>
      <c r="W7" s="395">
        <f>W6</f>
        <v>207.15437400000002</v>
      </c>
      <c r="X7" s="381">
        <f>U7/W7</f>
        <v>213.49825806719386</v>
      </c>
    </row>
    <row r="8" spans="2:24" ht="22" thickBot="1" x14ac:dyDescent="0.3">
      <c r="B8" s="191" t="s">
        <v>189</v>
      </c>
      <c r="D8" s="195">
        <v>46203</v>
      </c>
      <c r="F8" s="191" t="s">
        <v>190</v>
      </c>
      <c r="H8" s="199">
        <f>D9</f>
        <v>46300</v>
      </c>
      <c r="J8" s="200"/>
      <c r="L8" s="366" t="s">
        <v>191</v>
      </c>
      <c r="M8" s="367">
        <f>C108</f>
        <v>204.50280102213321</v>
      </c>
      <c r="N8" s="368">
        <f>D108</f>
        <v>228.14877997561089</v>
      </c>
    </row>
    <row r="9" spans="2:24" x14ac:dyDescent="0.2">
      <c r="B9" s="191" t="s">
        <v>192</v>
      </c>
      <c r="D9" s="195">
        <f>FrontPage!C4</f>
        <v>46300</v>
      </c>
      <c r="H9"/>
      <c r="I9" s="200"/>
      <c r="J9" s="200"/>
    </row>
    <row r="10" spans="2:24" x14ac:dyDescent="0.2">
      <c r="B10" s="191" t="s">
        <v>193</v>
      </c>
      <c r="D10" s="201">
        <f>YEARFRAC(D9,D7)</f>
        <v>0.2388888888888889</v>
      </c>
    </row>
    <row r="11" spans="2:24" ht="16" thickBot="1" x14ac:dyDescent="0.25">
      <c r="D11" s="202"/>
    </row>
    <row r="12" spans="2:24" ht="24" x14ac:dyDescent="0.3">
      <c r="B12" s="320" t="s">
        <v>194</v>
      </c>
      <c r="C12" s="265"/>
      <c r="D12" s="358"/>
      <c r="E12" s="265"/>
      <c r="F12" s="265"/>
      <c r="G12" s="265"/>
      <c r="H12" s="265"/>
      <c r="I12" s="265"/>
      <c r="J12" s="267"/>
    </row>
    <row r="13" spans="2:24" x14ac:dyDescent="0.2">
      <c r="B13" s="270" t="s">
        <v>195</v>
      </c>
      <c r="J13" s="282"/>
    </row>
    <row r="14" spans="2:24" ht="17.25" customHeight="1" x14ac:dyDescent="0.35">
      <c r="B14" s="273"/>
      <c r="C14" s="205"/>
      <c r="D14" s="205" t="s">
        <v>196</v>
      </c>
      <c r="E14" s="423" t="s">
        <v>197</v>
      </c>
      <c r="F14" s="423"/>
      <c r="G14" s="423"/>
      <c r="H14" s="205"/>
      <c r="I14" s="205"/>
      <c r="J14" s="282"/>
    </row>
    <row r="15" spans="2:24" x14ac:dyDescent="0.2">
      <c r="B15" s="307" t="s">
        <v>198</v>
      </c>
      <c r="C15" s="321"/>
      <c r="D15" s="352" t="str">
        <f>'Detail Data'!D2</f>
        <v>2025A</v>
      </c>
      <c r="E15" s="352" t="str">
        <f>'Detail Data'!E2</f>
        <v>2026F</v>
      </c>
      <c r="F15" s="352" t="str">
        <f>'Detail Data'!F2</f>
        <v>2027F</v>
      </c>
      <c r="G15" s="352" t="str">
        <f>'Detail Data'!G2</f>
        <v>2028F</v>
      </c>
      <c r="H15" s="352"/>
      <c r="I15" s="352"/>
      <c r="J15" s="282"/>
    </row>
    <row r="16" spans="2:24" x14ac:dyDescent="0.2">
      <c r="B16" s="307"/>
      <c r="D16" s="353"/>
      <c r="E16" s="322"/>
      <c r="F16" s="322"/>
      <c r="G16" s="322"/>
      <c r="H16" s="322"/>
      <c r="I16" s="322"/>
      <c r="J16" s="282"/>
    </row>
    <row r="17" spans="2:13" x14ac:dyDescent="0.2">
      <c r="B17" s="273" t="s">
        <v>199</v>
      </c>
      <c r="C17" s="288"/>
      <c r="D17" s="326">
        <f>'Detail Data'!D5</f>
        <v>11692.6</v>
      </c>
      <c r="E17" s="288">
        <f>'Detail Data'!E5</f>
        <v>12296.5</v>
      </c>
      <c r="F17" s="288">
        <f>'Detail Data'!F5</f>
        <v>12603.5</v>
      </c>
      <c r="G17" s="288">
        <f>'Detail Data'!G5</f>
        <v>12931.9</v>
      </c>
      <c r="H17" s="288"/>
      <c r="I17" s="288"/>
      <c r="J17" s="282"/>
    </row>
    <row r="18" spans="2:13" x14ac:dyDescent="0.2">
      <c r="B18" s="308" t="s">
        <v>200</v>
      </c>
      <c r="E18" s="323">
        <f>E17/D17-1</f>
        <v>5.1648050903990494E-2</v>
      </c>
      <c r="F18" s="323">
        <f t="shared" ref="F18:G18" si="0">F17/E17-1</f>
        <v>2.4966453868987104E-2</v>
      </c>
      <c r="G18" s="323">
        <f t="shared" si="0"/>
        <v>2.6056254215099051E-2</v>
      </c>
      <c r="H18" s="284"/>
      <c r="I18" s="284"/>
      <c r="J18" s="282"/>
      <c r="K18" s="284"/>
    </row>
    <row r="19" spans="2:13" x14ac:dyDescent="0.2">
      <c r="B19" s="273" t="s">
        <v>136</v>
      </c>
      <c r="C19" s="288"/>
      <c r="D19" s="326">
        <f>'Detail Data'!D21</f>
        <v>1945.2</v>
      </c>
      <c r="E19" s="288">
        <f>'Detail Data'!E21</f>
        <v>3035.1</v>
      </c>
      <c r="F19" s="288">
        <f>'Detail Data'!F21</f>
        <v>3393.8</v>
      </c>
      <c r="G19" s="288">
        <f>'Detail Data'!G21</f>
        <v>3554.2</v>
      </c>
      <c r="H19" s="288"/>
      <c r="I19" s="288"/>
      <c r="J19" s="282"/>
    </row>
    <row r="20" spans="2:13" x14ac:dyDescent="0.2">
      <c r="B20" s="308" t="s">
        <v>201</v>
      </c>
      <c r="D20" s="201">
        <f>D19/D17</f>
        <v>0.16636163043292337</v>
      </c>
      <c r="E20" s="201">
        <f t="shared" ref="E20:G20" si="1">E19/E17</f>
        <v>0.2468263326962957</v>
      </c>
      <c r="F20" s="201">
        <f t="shared" si="1"/>
        <v>0.26927440790256674</v>
      </c>
      <c r="G20" s="201">
        <f t="shared" si="1"/>
        <v>0.27483973739357714</v>
      </c>
      <c r="H20" s="284"/>
      <c r="I20" s="284"/>
      <c r="J20" s="282"/>
    </row>
    <row r="21" spans="2:13" x14ac:dyDescent="0.2">
      <c r="B21" s="273" t="s">
        <v>202</v>
      </c>
      <c r="D21" s="326">
        <f>'Detail Data'!D16</f>
        <v>1441.5</v>
      </c>
      <c r="E21" s="288">
        <f>'Detail Data'!E16</f>
        <v>2546.6904971403433</v>
      </c>
      <c r="F21" s="288">
        <f>'Detail Data'!F16</f>
        <v>2835.4752529696439</v>
      </c>
      <c r="G21" s="288">
        <f>'Detail Data'!G16</f>
        <v>2985.2383853937527</v>
      </c>
      <c r="H21" s="288"/>
      <c r="I21" s="288"/>
      <c r="J21" s="282"/>
    </row>
    <row r="22" spans="2:13" x14ac:dyDescent="0.2">
      <c r="B22" s="308" t="s">
        <v>201</v>
      </c>
      <c r="D22" s="201">
        <f>D21/D17</f>
        <v>0.12328310213297299</v>
      </c>
      <c r="E22" s="201">
        <f t="shared" ref="E22:G22" si="2">E21/E17</f>
        <v>0.2071069407669128</v>
      </c>
      <c r="F22" s="201">
        <f t="shared" si="2"/>
        <v>0.22497522537149553</v>
      </c>
      <c r="G22" s="201">
        <f t="shared" si="2"/>
        <v>0.23084298404671802</v>
      </c>
      <c r="H22" s="284"/>
      <c r="I22" s="284"/>
      <c r="J22" s="282"/>
    </row>
    <row r="23" spans="2:13" x14ac:dyDescent="0.2">
      <c r="B23" s="308"/>
      <c r="D23" s="324"/>
      <c r="E23" s="324"/>
      <c r="F23" s="324"/>
      <c r="G23" s="324"/>
      <c r="H23" s="324"/>
      <c r="I23" s="324"/>
      <c r="J23" s="282"/>
    </row>
    <row r="24" spans="2:13" ht="15" customHeight="1" x14ac:dyDescent="0.2">
      <c r="B24" s="273" t="s">
        <v>203</v>
      </c>
      <c r="C24" s="288"/>
      <c r="D24" s="288">
        <f>D25*D21</f>
        <v>540.01171742329893</v>
      </c>
      <c r="E24" s="288">
        <f>E25*E21</f>
        <v>725.80679168499773</v>
      </c>
      <c r="F24" s="288">
        <f t="shared" ref="F24:G24" si="3">F25*F21</f>
        <v>793.93307083150023</v>
      </c>
      <c r="G24" s="288">
        <f t="shared" si="3"/>
        <v>820.94055598328191</v>
      </c>
      <c r="H24" s="288"/>
      <c r="I24" s="288"/>
      <c r="J24" s="282"/>
    </row>
    <row r="25" spans="2:13" ht="15" customHeight="1" x14ac:dyDescent="0.2">
      <c r="B25" s="308" t="s">
        <v>204</v>
      </c>
      <c r="D25" s="354">
        <f>'Detail Data'!D20/'Detail Data'!D17</f>
        <v>0.37461791010981543</v>
      </c>
      <c r="E25" s="354">
        <v>0.28499999999999998</v>
      </c>
      <c r="F25" s="354">
        <f>E25-0.5%</f>
        <v>0.27999999999999997</v>
      </c>
      <c r="G25" s="354">
        <f>F25-0.5%</f>
        <v>0.27499999999999997</v>
      </c>
      <c r="H25" s="354"/>
      <c r="I25" s="354"/>
      <c r="J25" s="282"/>
    </row>
    <row r="26" spans="2:13" ht="15" customHeight="1" x14ac:dyDescent="0.2">
      <c r="B26" s="270" t="s">
        <v>205</v>
      </c>
      <c r="C26" s="206"/>
      <c r="D26" s="280">
        <f t="shared" ref="D26:G26" si="4">D21-D24</f>
        <v>901.48828257670107</v>
      </c>
      <c r="E26" s="280">
        <f t="shared" si="4"/>
        <v>1820.8837054553455</v>
      </c>
      <c r="F26" s="280">
        <f t="shared" si="4"/>
        <v>2041.5421821381437</v>
      </c>
      <c r="G26" s="280">
        <f t="shared" si="4"/>
        <v>2164.2978294104705</v>
      </c>
      <c r="H26" s="280"/>
      <c r="I26" s="280"/>
      <c r="J26" s="282"/>
    </row>
    <row r="27" spans="2:13" x14ac:dyDescent="0.2">
      <c r="B27" s="273"/>
      <c r="D27" s="288"/>
      <c r="E27" s="288"/>
      <c r="F27" s="288"/>
      <c r="G27" s="288"/>
      <c r="H27" s="288"/>
      <c r="I27" s="288"/>
      <c r="J27" s="282"/>
    </row>
    <row r="28" spans="2:13" ht="15" customHeight="1" x14ac:dyDescent="0.2">
      <c r="B28" s="273" t="s">
        <v>206</v>
      </c>
      <c r="D28" s="288">
        <f>D19-D21</f>
        <v>503.70000000000005</v>
      </c>
      <c r="E28" s="288">
        <f>E19-E21</f>
        <v>488.40950285965664</v>
      </c>
      <c r="F28" s="288">
        <f t="shared" ref="F28:G28" si="5">F19-F21</f>
        <v>558.32474703035632</v>
      </c>
      <c r="G28" s="288">
        <f t="shared" si="5"/>
        <v>568.96161460624717</v>
      </c>
      <c r="H28" s="288"/>
      <c r="I28" s="288"/>
      <c r="J28" s="282"/>
      <c r="M28" s="292"/>
    </row>
    <row r="29" spans="2:13" ht="15" customHeight="1" x14ac:dyDescent="0.2">
      <c r="B29" s="273" t="s">
        <v>207</v>
      </c>
      <c r="D29" s="288">
        <f>C36-D36</f>
        <v>-747</v>
      </c>
      <c r="E29" s="288">
        <f t="shared" ref="E29:G29" si="6">D36-E36</f>
        <v>-284.5</v>
      </c>
      <c r="F29" s="288">
        <f t="shared" si="6"/>
        <v>-188</v>
      </c>
      <c r="G29" s="288">
        <f t="shared" si="6"/>
        <v>-296</v>
      </c>
      <c r="H29" s="288"/>
      <c r="I29" s="288"/>
      <c r="J29" s="282"/>
      <c r="M29" s="207"/>
    </row>
    <row r="30" spans="2:13" ht="15" customHeight="1" x14ac:dyDescent="0.2">
      <c r="B30" s="273" t="s">
        <v>208</v>
      </c>
      <c r="D30" s="326">
        <f>-'Detail Data'!D40</f>
        <v>-454.6</v>
      </c>
      <c r="E30" s="326">
        <f>-'Detail Data'!E40</f>
        <v>-440.8</v>
      </c>
      <c r="F30" s="326">
        <f>-'Detail Data'!F40</f>
        <v>-503.9</v>
      </c>
      <c r="G30" s="326">
        <f>-'Detail Data'!G40</f>
        <v>-513.5</v>
      </c>
      <c r="H30" s="325"/>
      <c r="I30" s="325"/>
      <c r="J30" s="282"/>
      <c r="M30" s="207"/>
    </row>
    <row r="31" spans="2:13" ht="15" customHeight="1" x14ac:dyDescent="0.2">
      <c r="B31" s="308" t="s">
        <v>209</v>
      </c>
      <c r="D31" s="201">
        <f>FrontPage!I30</f>
        <v>4.2660991037583057E-2</v>
      </c>
      <c r="E31" s="284">
        <f>D31</f>
        <v>4.2660991037583057E-2</v>
      </c>
      <c r="F31" s="284">
        <f t="shared" ref="F31:G31" si="7">E31</f>
        <v>4.2660991037583057E-2</v>
      </c>
      <c r="G31" s="284">
        <f t="shared" si="7"/>
        <v>4.2660991037583057E-2</v>
      </c>
      <c r="H31" s="284"/>
      <c r="I31" s="284"/>
      <c r="J31" s="282"/>
      <c r="M31" s="207"/>
    </row>
    <row r="32" spans="2:13" x14ac:dyDescent="0.2">
      <c r="B32" s="273"/>
      <c r="D32" s="326"/>
      <c r="E32" s="327"/>
      <c r="F32" s="327"/>
      <c r="G32" s="327"/>
      <c r="H32" s="327"/>
      <c r="I32" s="327"/>
      <c r="J32" s="282"/>
      <c r="M32" s="207"/>
    </row>
    <row r="33" spans="2:13" x14ac:dyDescent="0.2">
      <c r="B33" s="396" t="s">
        <v>210</v>
      </c>
      <c r="D33" s="326"/>
      <c r="E33" s="327"/>
      <c r="F33" s="327"/>
      <c r="G33" s="327"/>
      <c r="H33" s="327"/>
      <c r="I33" s="327"/>
      <c r="J33" s="282"/>
      <c r="M33" s="207"/>
    </row>
    <row r="34" spans="2:13" x14ac:dyDescent="0.2">
      <c r="B34" s="270" t="s">
        <v>211</v>
      </c>
      <c r="C34" s="206"/>
      <c r="D34" s="280"/>
      <c r="E34" s="280"/>
      <c r="F34" s="280"/>
      <c r="G34" s="280"/>
      <c r="H34" s="280"/>
      <c r="I34" s="280"/>
      <c r="J34" s="282"/>
      <c r="M34" s="280"/>
    </row>
    <row r="35" spans="2:13" x14ac:dyDescent="0.2">
      <c r="B35" s="273"/>
      <c r="D35" s="324"/>
      <c r="J35" s="282"/>
      <c r="M35" s="207"/>
    </row>
    <row r="36" spans="2:13" x14ac:dyDescent="0.2">
      <c r="B36" s="273" t="s">
        <v>212</v>
      </c>
      <c r="C36" s="326">
        <f>'Detail Data'!C33</f>
        <v>-170</v>
      </c>
      <c r="D36" s="326">
        <f>'Detail Data'!D33</f>
        <v>577</v>
      </c>
      <c r="E36" s="288">
        <f>'Detail Data'!E33</f>
        <v>861.5</v>
      </c>
      <c r="F36" s="288">
        <f>'Detail Data'!F33</f>
        <v>1049.5</v>
      </c>
      <c r="G36" s="288">
        <f>'Detail Data'!G33</f>
        <v>1345.5</v>
      </c>
      <c r="H36" s="288"/>
      <c r="I36" s="288"/>
      <c r="J36" s="282"/>
    </row>
    <row r="37" spans="2:13" x14ac:dyDescent="0.2">
      <c r="B37" s="308" t="s">
        <v>209</v>
      </c>
      <c r="D37" s="201">
        <f>D36/D17</f>
        <v>4.934745052426321E-2</v>
      </c>
      <c r="E37" s="201">
        <f t="shared" ref="E37:G37" si="8">E36/E17</f>
        <v>7.0060586345708123E-2</v>
      </c>
      <c r="F37" s="201">
        <f t="shared" si="8"/>
        <v>8.3270520093624789E-2</v>
      </c>
      <c r="G37" s="201">
        <f t="shared" si="8"/>
        <v>0.10404503591892916</v>
      </c>
      <c r="H37" s="201"/>
      <c r="I37" s="201"/>
      <c r="J37" s="328"/>
    </row>
    <row r="38" spans="2:13" x14ac:dyDescent="0.2">
      <c r="B38" s="273"/>
      <c r="D38" s="324"/>
      <c r="E38" s="201"/>
      <c r="F38" s="201"/>
      <c r="G38" s="201"/>
      <c r="H38" s="201"/>
      <c r="I38" s="201"/>
      <c r="J38" s="328"/>
      <c r="K38" s="325"/>
      <c r="M38" s="201"/>
    </row>
    <row r="39" spans="2:13" x14ac:dyDescent="0.2">
      <c r="B39" s="270" t="str">
        <f>"Present value of UFCF on "&amp;TEXT(D9,"mmm dd, yyyy")&amp;" valuation date"</f>
        <v>Present value of UFCF on Oct 05, 2026 valuation date</v>
      </c>
      <c r="D39" s="324"/>
      <c r="F39" s="324"/>
      <c r="G39" s="324"/>
      <c r="H39" s="324"/>
      <c r="I39" s="324"/>
      <c r="J39" s="328"/>
    </row>
    <row r="40" spans="2:13" ht="18" x14ac:dyDescent="0.35">
      <c r="B40" s="270"/>
      <c r="D40" s="355" t="s">
        <v>213</v>
      </c>
      <c r="E40" s="355" t="s">
        <v>214</v>
      </c>
      <c r="F40" s="271" t="s">
        <v>215</v>
      </c>
      <c r="G40" s="271" t="s">
        <v>216</v>
      </c>
      <c r="H40" s="271"/>
      <c r="I40" s="271"/>
      <c r="J40" s="328"/>
    </row>
    <row r="41" spans="2:13" x14ac:dyDescent="0.2">
      <c r="B41" s="273" t="s">
        <v>217</v>
      </c>
      <c r="C41" s="274"/>
      <c r="D41" s="275">
        <f>D9</f>
        <v>46300</v>
      </c>
      <c r="E41" s="397">
        <f>DATE(YEAR($D$6)+1,12,31)</f>
        <v>46387</v>
      </c>
      <c r="F41" s="397">
        <f>DATE(YEAR($D$6)+2,12,31)</f>
        <v>46752</v>
      </c>
      <c r="G41" s="397">
        <f>DATE(YEAR($D$6)+3,12,31)</f>
        <v>47118</v>
      </c>
      <c r="H41" s="275"/>
      <c r="I41" s="275"/>
      <c r="J41" s="328"/>
    </row>
    <row r="42" spans="2:13" x14ac:dyDescent="0.2">
      <c r="B42" s="273" t="s">
        <v>218</v>
      </c>
      <c r="C42" s="277">
        <f>D10</f>
        <v>0.2388888888888889</v>
      </c>
      <c r="D42" s="207"/>
      <c r="E42" s="288">
        <f>(E26+E28+E29+E30)*C42</f>
        <v>378.39837754191723</v>
      </c>
      <c r="F42" s="288">
        <f>F26+F28+F29+F30</f>
        <v>1907.9669291685</v>
      </c>
      <c r="G42" s="288">
        <f t="shared" ref="G42" si="9">G26+G28+G29+G30</f>
        <v>1923.7594440167177</v>
      </c>
      <c r="H42" s="288"/>
      <c r="I42" s="288"/>
      <c r="J42" s="329"/>
      <c r="K42" s="191" t="s">
        <v>219</v>
      </c>
    </row>
    <row r="43" spans="2:13" ht="15" customHeight="1" x14ac:dyDescent="0.2">
      <c r="B43" s="270" t="s">
        <v>220</v>
      </c>
      <c r="C43" s="279"/>
      <c r="E43" s="280">
        <f>E42/(1+$H$6)^((E41-$D$41)/365)</f>
        <v>372.52711411569157</v>
      </c>
      <c r="F43" s="280">
        <f>F42/(1+$H$6)^((F41-$D$41)/365)</f>
        <v>1759.0853193860364</v>
      </c>
      <c r="G43" s="280">
        <f>G42/(1+$H$6)^((G41-$D$41)/365)</f>
        <v>1660.7191873349771</v>
      </c>
      <c r="H43" s="280"/>
      <c r="I43" s="280"/>
      <c r="J43" s="329"/>
    </row>
    <row r="44" spans="2:13" x14ac:dyDescent="0.2">
      <c r="B44" s="273"/>
      <c r="J44" s="282"/>
    </row>
    <row r="45" spans="2:13" x14ac:dyDescent="0.2">
      <c r="B45" s="270" t="s">
        <v>221</v>
      </c>
      <c r="C45" s="206"/>
      <c r="E45" s="206" t="s">
        <v>222</v>
      </c>
      <c r="J45" s="282"/>
    </row>
    <row r="46" spans="2:13" x14ac:dyDescent="0.2">
      <c r="B46" s="273" t="s">
        <v>223</v>
      </c>
      <c r="C46" s="284">
        <v>0.03</v>
      </c>
      <c r="E46" s="191" t="s">
        <v>224</v>
      </c>
      <c r="I46" s="207">
        <f>G19</f>
        <v>3554.2</v>
      </c>
      <c r="J46" s="285"/>
    </row>
    <row r="47" spans="2:13" x14ac:dyDescent="0.2">
      <c r="B47" s="286" t="str">
        <f>YEAR(G41)&amp;" FCF x (1+g)"</f>
        <v>2028 FCF x (1+g)</v>
      </c>
      <c r="C47" s="207">
        <f>G42*(1+C46)</f>
        <v>1981.4722273372192</v>
      </c>
      <c r="E47" s="191" t="s">
        <v>225</v>
      </c>
      <c r="I47" s="330">
        <v>13.02</v>
      </c>
      <c r="J47" s="287"/>
    </row>
    <row r="48" spans="2:13" x14ac:dyDescent="0.2">
      <c r="B48" s="273" t="str">
        <f>"Terminal value in "&amp;YEAR(D6)+3</f>
        <v>Terminal value in 2028</v>
      </c>
      <c r="C48" s="207">
        <f>(C47/(H6-C46))</f>
        <v>52410.884780436478</v>
      </c>
      <c r="E48" s="191" t="str">
        <f>"Terminal value in "&amp;YEAR(G41)</f>
        <v>Terminal value in 2028</v>
      </c>
      <c r="I48" s="207">
        <f>I46*I47</f>
        <v>46275.683999999994</v>
      </c>
      <c r="J48" s="285"/>
    </row>
    <row r="49" spans="2:12" x14ac:dyDescent="0.2">
      <c r="B49" s="273" t="s">
        <v>226</v>
      </c>
      <c r="C49" s="207">
        <f>C48/(1+H6)^((G41-D41)/365)</f>
        <v>45244.618421905558</v>
      </c>
      <c r="E49" s="191" t="s">
        <v>226</v>
      </c>
      <c r="I49" s="207">
        <f>I48/(1+H6)^((G41-D41)/365)</f>
        <v>39948.298403353983</v>
      </c>
      <c r="J49" s="285"/>
    </row>
    <row r="50" spans="2:12" x14ac:dyDescent="0.2">
      <c r="B50" s="273" t="s">
        <v>227</v>
      </c>
      <c r="C50" s="288">
        <f>SUM(E43:G43)</f>
        <v>3792.331620836705</v>
      </c>
      <c r="E50" s="191" t="s">
        <v>227</v>
      </c>
      <c r="I50" s="207">
        <f>SUM(E43:G43)</f>
        <v>3792.331620836705</v>
      </c>
      <c r="J50" s="285"/>
    </row>
    <row r="51" spans="2:12" x14ac:dyDescent="0.2">
      <c r="B51" s="270" t="s">
        <v>228</v>
      </c>
      <c r="C51" s="289">
        <f>C49+C50</f>
        <v>49036.950042742261</v>
      </c>
      <c r="D51" s="290"/>
      <c r="E51" s="206" t="s">
        <v>229</v>
      </c>
      <c r="I51" s="289">
        <f>I49+I50</f>
        <v>43740.630024190687</v>
      </c>
      <c r="J51" s="291"/>
    </row>
    <row r="52" spans="2:12" x14ac:dyDescent="0.2">
      <c r="B52" s="273"/>
      <c r="D52" s="292"/>
      <c r="J52" s="282"/>
    </row>
    <row r="53" spans="2:12" x14ac:dyDescent="0.2">
      <c r="B53" s="293" t="s">
        <v>230</v>
      </c>
      <c r="C53" s="294">
        <f>C49/$C$51</f>
        <v>0.92266379500496709</v>
      </c>
      <c r="E53" s="295" t="s">
        <v>230</v>
      </c>
      <c r="I53" s="294">
        <f>I49/$I$51</f>
        <v>0.91329956567293702</v>
      </c>
      <c r="J53" s="296"/>
    </row>
    <row r="54" spans="2:12" x14ac:dyDescent="0.2">
      <c r="B54" s="293" t="s">
        <v>231</v>
      </c>
      <c r="C54" s="294">
        <f t="shared" ref="C54" si="10">C50/$C$51</f>
        <v>7.7336204995032951E-2</v>
      </c>
      <c r="E54" s="295" t="s">
        <v>231</v>
      </c>
      <c r="G54" s="297"/>
      <c r="I54" s="294">
        <f t="shared" ref="I54" si="11">I50/$I$51</f>
        <v>8.6700434327063008E-2</v>
      </c>
      <c r="J54" s="331"/>
    </row>
    <row r="55" spans="2:12" x14ac:dyDescent="0.2">
      <c r="B55" s="293" t="s">
        <v>232</v>
      </c>
      <c r="C55" s="298">
        <f>C48/G19</f>
        <v>14.746183326891137</v>
      </c>
      <c r="E55" s="191" t="s">
        <v>233</v>
      </c>
      <c r="I55" s="332">
        <f>(H6-G42/I48)/(1+G42/I48)</f>
        <v>2.518769378172846E-2</v>
      </c>
      <c r="J55" s="299"/>
    </row>
    <row r="56" spans="2:12" x14ac:dyDescent="0.2">
      <c r="B56" s="293"/>
      <c r="C56" s="333"/>
      <c r="D56" s="298"/>
      <c r="I56" s="332"/>
      <c r="J56" s="299"/>
    </row>
    <row r="57" spans="2:12" x14ac:dyDescent="0.2">
      <c r="B57" s="270" t="s">
        <v>234</v>
      </c>
      <c r="E57" s="206" t="s">
        <v>235</v>
      </c>
      <c r="G57" s="206"/>
      <c r="J57" s="282"/>
    </row>
    <row r="58" spans="2:12" x14ac:dyDescent="0.2">
      <c r="B58" s="273" t="s">
        <v>236</v>
      </c>
      <c r="C58" s="199" t="s">
        <v>237</v>
      </c>
      <c r="J58" s="282"/>
      <c r="L58" s="356"/>
    </row>
    <row r="59" spans="2:12" x14ac:dyDescent="0.2">
      <c r="B59" s="309" t="s">
        <v>238</v>
      </c>
      <c r="C59" s="195">
        <v>46022</v>
      </c>
      <c r="G59" s="334" t="s">
        <v>236</v>
      </c>
      <c r="H59" s="335" t="s">
        <v>239</v>
      </c>
      <c r="I59" s="335" t="s">
        <v>240</v>
      </c>
      <c r="J59" s="282"/>
    </row>
    <row r="60" spans="2:12" x14ac:dyDescent="0.2">
      <c r="B60" s="310" t="s">
        <v>241</v>
      </c>
      <c r="C60" s="197"/>
      <c r="E60" s="191" t="s">
        <v>242</v>
      </c>
      <c r="G60" s="199" t="s">
        <v>243</v>
      </c>
      <c r="H60" s="199">
        <v>43847</v>
      </c>
      <c r="I60" s="336">
        <f>145628.076+59613.777</f>
        <v>205241.853</v>
      </c>
      <c r="J60" s="337"/>
    </row>
    <row r="61" spans="2:12" x14ac:dyDescent="0.2">
      <c r="B61" s="308" t="s">
        <v>244</v>
      </c>
      <c r="C61" s="325">
        <f>'Detail Data'!D34</f>
        <v>4681</v>
      </c>
      <c r="E61" s="211" t="s">
        <v>245</v>
      </c>
      <c r="G61" s="199" t="s">
        <v>243</v>
      </c>
      <c r="H61" s="199">
        <v>43827</v>
      </c>
      <c r="I61" s="336">
        <v>1303.521</v>
      </c>
      <c r="J61" s="338"/>
    </row>
    <row r="62" spans="2:12" ht="15" customHeight="1" x14ac:dyDescent="0.2">
      <c r="B62" s="308" t="s">
        <v>246</v>
      </c>
      <c r="C62" s="339"/>
      <c r="E62" s="211" t="s">
        <v>247</v>
      </c>
      <c r="G62" s="199"/>
      <c r="H62" s="199"/>
      <c r="I62" s="340">
        <v>609</v>
      </c>
      <c r="J62" s="282"/>
      <c r="K62" s="191" t="s">
        <v>248</v>
      </c>
    </row>
    <row r="63" spans="2:12" ht="15" customHeight="1" x14ac:dyDescent="0.2">
      <c r="B63" s="308" t="s">
        <v>249</v>
      </c>
      <c r="C63" s="339"/>
      <c r="E63" s="191" t="s">
        <v>246</v>
      </c>
      <c r="G63" s="199"/>
      <c r="H63" s="199"/>
      <c r="I63" s="340">
        <v>0</v>
      </c>
      <c r="J63" s="282"/>
      <c r="K63" s="191" t="s">
        <v>250</v>
      </c>
    </row>
    <row r="64" spans="2:12" x14ac:dyDescent="0.2">
      <c r="B64" s="311" t="s">
        <v>251</v>
      </c>
      <c r="C64" s="327"/>
      <c r="E64" s="191" t="s">
        <v>252</v>
      </c>
      <c r="G64" s="199"/>
      <c r="H64" s="199"/>
      <c r="I64" s="340">
        <v>0</v>
      </c>
      <c r="J64" s="282"/>
      <c r="K64" s="191" t="s">
        <v>253</v>
      </c>
    </row>
    <row r="65" spans="2:14" ht="15" customHeight="1" x14ac:dyDescent="0.2">
      <c r="B65" s="310" t="s">
        <v>254</v>
      </c>
      <c r="E65" s="341" t="s">
        <v>255</v>
      </c>
      <c r="I65" s="342">
        <f>SUM(I60:I64)/1000</f>
        <v>207.15437400000002</v>
      </c>
      <c r="J65" s="343"/>
    </row>
    <row r="66" spans="2:14" x14ac:dyDescent="0.2">
      <c r="B66" s="312" t="s">
        <v>256</v>
      </c>
      <c r="C66" s="327">
        <f>'Detail Data'!D28</f>
        <v>925.9</v>
      </c>
      <c r="G66" s="206"/>
      <c r="I66" s="324"/>
      <c r="J66" s="282"/>
      <c r="K66" s="324"/>
      <c r="L66" s="324"/>
      <c r="M66" s="324"/>
      <c r="N66" s="324"/>
    </row>
    <row r="67" spans="2:14" ht="18" x14ac:dyDescent="0.35">
      <c r="B67" s="312" t="s">
        <v>257</v>
      </c>
      <c r="C67" s="327"/>
      <c r="G67" s="206"/>
      <c r="I67" s="355"/>
      <c r="J67" s="359"/>
      <c r="K67" s="271"/>
      <c r="L67" s="271"/>
      <c r="M67" s="271"/>
      <c r="N67" s="271"/>
    </row>
    <row r="68" spans="2:14" x14ac:dyDescent="0.2">
      <c r="B68" s="273"/>
      <c r="H68" s="274"/>
      <c r="I68" s="275"/>
      <c r="J68" s="398"/>
      <c r="K68" s="397"/>
      <c r="L68" s="397"/>
      <c r="M68" s="275"/>
      <c r="N68" s="275"/>
    </row>
    <row r="69" spans="2:14" x14ac:dyDescent="0.2">
      <c r="B69" s="313" t="s">
        <v>234</v>
      </c>
      <c r="C69" s="344">
        <f>SUM(C61:C64)-SUM(C66:C67)</f>
        <v>3755.1</v>
      </c>
      <c r="H69" s="277"/>
      <c r="I69" s="207"/>
      <c r="J69" s="329"/>
      <c r="K69" s="288"/>
      <c r="L69" s="288"/>
      <c r="M69" s="288"/>
      <c r="N69" s="288"/>
    </row>
    <row r="70" spans="2:14" x14ac:dyDescent="0.2">
      <c r="B70" s="273"/>
      <c r="G70" s="206"/>
      <c r="H70" s="279"/>
      <c r="J70" s="281"/>
      <c r="K70" s="280"/>
      <c r="L70" s="280"/>
      <c r="M70" s="280"/>
      <c r="N70" s="280"/>
    </row>
    <row r="71" spans="2:14" x14ac:dyDescent="0.2">
      <c r="B71" s="270" t="s">
        <v>258</v>
      </c>
      <c r="J71" s="282"/>
    </row>
    <row r="72" spans="2:14" ht="18" x14ac:dyDescent="0.35">
      <c r="B72" s="273"/>
      <c r="C72" s="300" t="s">
        <v>259</v>
      </c>
      <c r="D72" s="300" t="s">
        <v>136</v>
      </c>
      <c r="G72" s="206"/>
      <c r="H72" s="206"/>
      <c r="J72" s="348"/>
    </row>
    <row r="73" spans="2:14" x14ac:dyDescent="0.2">
      <c r="B73" s="273" t="s">
        <v>260</v>
      </c>
      <c r="C73" s="345">
        <f>C51</f>
        <v>49036.950042742261</v>
      </c>
      <c r="D73" s="345">
        <f>I51</f>
        <v>43740.630024190687</v>
      </c>
      <c r="H73" s="284"/>
      <c r="J73" s="282"/>
      <c r="N73" s="207"/>
    </row>
    <row r="74" spans="2:14" x14ac:dyDescent="0.2">
      <c r="B74" s="273" t="s">
        <v>234</v>
      </c>
      <c r="C74" s="357">
        <f>C69</f>
        <v>3755.1</v>
      </c>
      <c r="D74" s="357">
        <f>C74</f>
        <v>3755.1</v>
      </c>
      <c r="G74" s="346"/>
      <c r="H74" s="207"/>
      <c r="J74" s="282"/>
      <c r="N74" s="330"/>
    </row>
    <row r="75" spans="2:14" x14ac:dyDescent="0.2">
      <c r="B75" s="273" t="s">
        <v>261</v>
      </c>
      <c r="C75" s="301">
        <f>C73-C74</f>
        <v>45281.850042742262</v>
      </c>
      <c r="D75" s="301">
        <f>D73-D74</f>
        <v>39985.530024190688</v>
      </c>
      <c r="H75" s="207"/>
      <c r="J75" s="282"/>
      <c r="N75" s="207"/>
    </row>
    <row r="76" spans="2:14" x14ac:dyDescent="0.2">
      <c r="B76" s="273" t="s">
        <v>235</v>
      </c>
      <c r="C76" s="301">
        <f>I65</f>
        <v>207.15437400000002</v>
      </c>
      <c r="D76" s="301">
        <f>C76</f>
        <v>207.15437400000002</v>
      </c>
      <c r="H76" s="207"/>
      <c r="J76" s="282"/>
      <c r="N76" s="207"/>
    </row>
    <row r="77" spans="2:14" x14ac:dyDescent="0.2">
      <c r="B77" s="270" t="s">
        <v>262</v>
      </c>
      <c r="C77" s="347">
        <f>C75/C76</f>
        <v>218.58988139319837</v>
      </c>
      <c r="D77" s="347">
        <f t="shared" ref="D77" si="12">D75/D76</f>
        <v>193.02286141537462</v>
      </c>
      <c r="H77" s="288"/>
      <c r="J77" s="282"/>
      <c r="N77" s="207"/>
    </row>
    <row r="78" spans="2:14" x14ac:dyDescent="0.2">
      <c r="B78" s="270"/>
      <c r="C78" s="347"/>
      <c r="D78" s="347"/>
      <c r="G78" s="206"/>
      <c r="H78" s="289"/>
      <c r="I78" s="290"/>
      <c r="J78" s="348"/>
      <c r="N78" s="289"/>
    </row>
    <row r="79" spans="2:14" x14ac:dyDescent="0.2">
      <c r="B79" s="314" t="s">
        <v>263</v>
      </c>
      <c r="C79" s="335" t="s">
        <v>259</v>
      </c>
      <c r="D79" s="335" t="s">
        <v>136</v>
      </c>
      <c r="E79" s="349"/>
      <c r="F79" s="349"/>
      <c r="I79" s="292"/>
      <c r="J79" s="282"/>
    </row>
    <row r="80" spans="2:14" x14ac:dyDescent="0.2">
      <c r="B80" s="273" t="s">
        <v>264</v>
      </c>
      <c r="C80" s="350">
        <f>C73/$E$17</f>
        <v>3.9878786681366454</v>
      </c>
      <c r="D80" s="350">
        <f>D73/$E$17</f>
        <v>3.557160982734167</v>
      </c>
      <c r="E80" s="349"/>
      <c r="F80" s="349"/>
      <c r="G80" s="295"/>
      <c r="H80" s="294"/>
      <c r="J80" s="351"/>
      <c r="N80" s="294"/>
    </row>
    <row r="81" spans="2:14" x14ac:dyDescent="0.2">
      <c r="B81" s="273" t="s">
        <v>265</v>
      </c>
      <c r="C81" s="349">
        <f>C73/$E$19</f>
        <v>16.15661758846241</v>
      </c>
      <c r="D81" s="349">
        <f>D73/$E$19</f>
        <v>14.411594354120355</v>
      </c>
      <c r="E81" s="349"/>
      <c r="F81" s="349"/>
      <c r="G81" s="295"/>
      <c r="H81" s="294"/>
      <c r="J81" s="351"/>
      <c r="L81" s="297"/>
      <c r="N81" s="294"/>
    </row>
    <row r="82" spans="2:14" ht="16" thickBot="1" x14ac:dyDescent="0.25">
      <c r="B82" s="315" t="s">
        <v>266</v>
      </c>
      <c r="C82" s="316">
        <f>C73/$E$21</f>
        <v>19.255166694894974</v>
      </c>
      <c r="D82" s="316">
        <f>D73/$E$21</f>
        <v>17.175479342034951</v>
      </c>
      <c r="E82" s="316"/>
      <c r="F82" s="317"/>
      <c r="G82" s="318"/>
      <c r="H82" s="319"/>
      <c r="I82" s="304"/>
      <c r="J82" s="306"/>
      <c r="N82" s="332"/>
    </row>
    <row r="83" spans="2:14" x14ac:dyDescent="0.2">
      <c r="F83" s="212"/>
    </row>
    <row r="84" spans="2:14" ht="16" thickBot="1" x14ac:dyDescent="0.25">
      <c r="F84" s="212"/>
    </row>
    <row r="85" spans="2:14" ht="24" x14ac:dyDescent="0.3">
      <c r="B85" s="320" t="s">
        <v>267</v>
      </c>
      <c r="C85" s="265"/>
      <c r="D85" s="265"/>
      <c r="E85" s="265"/>
      <c r="F85" s="266"/>
      <c r="G85" s="265"/>
      <c r="H85" s="265"/>
      <c r="I85" s="267"/>
    </row>
    <row r="86" spans="2:14" x14ac:dyDescent="0.2">
      <c r="B86" s="268" t="str">
        <f>"Present value of UFCF on "&amp;TEXT(D9,"mmm dd, yyyy")&amp;" valuation date"</f>
        <v>Present value of UFCF on Oct 05, 2026 valuation date</v>
      </c>
      <c r="C86" s="204"/>
      <c r="D86" s="208"/>
      <c r="E86" s="204"/>
      <c r="F86" s="208"/>
      <c r="G86" s="208"/>
      <c r="H86" s="208"/>
      <c r="I86" s="269"/>
    </row>
    <row r="87" spans="2:14" ht="18" x14ac:dyDescent="0.35">
      <c r="B87" s="270"/>
      <c r="D87" s="209" t="s">
        <v>213</v>
      </c>
      <c r="E87" s="209" t="s">
        <v>214</v>
      </c>
      <c r="F87" s="271" t="s">
        <v>215</v>
      </c>
      <c r="G87" s="271" t="s">
        <v>216</v>
      </c>
      <c r="H87" s="271"/>
      <c r="I87" s="272"/>
    </row>
    <row r="88" spans="2:14" x14ac:dyDescent="0.2">
      <c r="B88" s="273" t="s">
        <v>217</v>
      </c>
      <c r="C88" s="274"/>
      <c r="D88" s="275">
        <f>D9</f>
        <v>46300</v>
      </c>
      <c r="E88" s="397">
        <f>DATE(YEAR($D$6)+1,12,31)</f>
        <v>46387</v>
      </c>
      <c r="F88" s="397">
        <f>DATE(YEAR($D$6)+2,12,31)</f>
        <v>46752</v>
      </c>
      <c r="G88" s="397">
        <f>DATE(YEAR($D$6)+3,12,31)</f>
        <v>47118</v>
      </c>
      <c r="H88" s="275"/>
      <c r="I88" s="276"/>
    </row>
    <row r="89" spans="2:14" x14ac:dyDescent="0.2">
      <c r="B89" s="273" t="s">
        <v>218</v>
      </c>
      <c r="C89" s="277">
        <f>C42</f>
        <v>0.2388888888888889</v>
      </c>
      <c r="D89" s="207"/>
      <c r="E89" s="210">
        <f>C89*'Detail Data'!D42</f>
        <v>483.18805533542144</v>
      </c>
      <c r="F89" s="210">
        <f>'Detail Data'!E42</f>
        <v>1566.5943129999996</v>
      </c>
      <c r="G89" s="210">
        <f>'Detail Data'!F42</f>
        <v>1792.6607679999997</v>
      </c>
      <c r="H89" s="210"/>
      <c r="I89" s="278"/>
    </row>
    <row r="90" spans="2:14" x14ac:dyDescent="0.2">
      <c r="B90" s="270" t="s">
        <v>220</v>
      </c>
      <c r="C90" s="279"/>
      <c r="E90" s="280">
        <f>E89/(1+'WACC calculation'!F11)^((E88-$D$41)/365)</f>
        <v>483.18805533542144</v>
      </c>
      <c r="F90" s="280">
        <f>F89/(1+'WACC calculation'!G11)^((F88-$D$41)/365)</f>
        <v>1566.5943129999996</v>
      </c>
      <c r="G90" s="280">
        <f>G89/(1+'WACC calculation'!H11)^((G88-$D$41)/365)</f>
        <v>1792.6607679999997</v>
      </c>
      <c r="H90" s="280"/>
      <c r="I90" s="281"/>
    </row>
    <row r="91" spans="2:14" x14ac:dyDescent="0.2">
      <c r="B91" s="273"/>
      <c r="I91" s="282"/>
    </row>
    <row r="92" spans="2:14" x14ac:dyDescent="0.2">
      <c r="B92" s="268" t="s">
        <v>221</v>
      </c>
      <c r="C92" s="203"/>
      <c r="E92" s="203" t="s">
        <v>268</v>
      </c>
      <c r="F92" s="204"/>
      <c r="G92" s="204"/>
      <c r="H92" s="204"/>
      <c r="I92" s="283"/>
    </row>
    <row r="93" spans="2:14" x14ac:dyDescent="0.2">
      <c r="B93" s="273" t="s">
        <v>223</v>
      </c>
      <c r="C93" s="284">
        <v>0.03</v>
      </c>
      <c r="E93" s="399" t="s">
        <v>269</v>
      </c>
      <c r="I93" s="285">
        <f>G26</f>
        <v>2164.2978294104705</v>
      </c>
    </row>
    <row r="94" spans="2:14" x14ac:dyDescent="0.2">
      <c r="B94" s="286" t="str">
        <f>YEAR(G88)&amp;" FCF x (1+g)"</f>
        <v>2028 FCF x (1+g)</v>
      </c>
      <c r="C94" s="207">
        <f>G89*(1+C93)</f>
        <v>1846.4405910399998</v>
      </c>
      <c r="E94" s="399" t="s">
        <v>270</v>
      </c>
      <c r="I94" s="287">
        <v>23.4</v>
      </c>
    </row>
    <row r="95" spans="2:14" x14ac:dyDescent="0.2">
      <c r="B95" s="273" t="str">
        <f>"Terminal value in "&amp;YEAR(G88)</f>
        <v>Terminal value in 2028</v>
      </c>
      <c r="C95" s="207">
        <f>C94/('WACC calculation'!D11-'DCF 1-Pager'!C93)</f>
        <v>44931.115355377246</v>
      </c>
      <c r="E95" s="191" t="str">
        <f>"Terminal value in "&amp;YEAR(G88)</f>
        <v>Terminal value in 2028</v>
      </c>
      <c r="I95" s="285">
        <f>I94*I93</f>
        <v>50644.569208205008</v>
      </c>
    </row>
    <row r="96" spans="2:14" x14ac:dyDescent="0.2">
      <c r="B96" s="273" t="s">
        <v>226</v>
      </c>
      <c r="C96" s="207">
        <f>C95/(1+'WACC calculation'!D11)^(('DCF 1-Pager'!G88-'DCF 1-Pager'!D88)/365)</f>
        <v>38521.206590651149</v>
      </c>
      <c r="E96" s="191" t="s">
        <v>226</v>
      </c>
      <c r="I96" s="207">
        <f>I95/(1+'WACC calculation'!D11)^((G88-D88)/365)</f>
        <v>43419.574558375993</v>
      </c>
    </row>
    <row r="97" spans="2:43" x14ac:dyDescent="0.2">
      <c r="B97" s="273" t="s">
        <v>227</v>
      </c>
      <c r="C97" s="288">
        <f>SUM(E90:G90)</f>
        <v>3842.4431363354206</v>
      </c>
      <c r="E97" s="191" t="s">
        <v>227</v>
      </c>
      <c r="I97" s="285">
        <f>SUM(E90:G90)</f>
        <v>3842.4431363354206</v>
      </c>
    </row>
    <row r="98" spans="2:43" x14ac:dyDescent="0.2">
      <c r="B98" s="270" t="s">
        <v>271</v>
      </c>
      <c r="C98" s="289">
        <f>C96+C97</f>
        <v>42363.649726986572</v>
      </c>
      <c r="D98" s="290"/>
      <c r="E98" s="206" t="s">
        <v>272</v>
      </c>
      <c r="I98" s="291">
        <f>I96+I97</f>
        <v>47262.017694711416</v>
      </c>
    </row>
    <row r="99" spans="2:43" x14ac:dyDescent="0.2">
      <c r="B99" s="273"/>
      <c r="D99" s="292"/>
      <c r="I99" s="282"/>
    </row>
    <row r="100" spans="2:43" x14ac:dyDescent="0.2">
      <c r="B100" s="293" t="s">
        <v>230</v>
      </c>
      <c r="C100" s="294">
        <f>C96/C98</f>
        <v>0.90929858118698159</v>
      </c>
      <c r="E100" s="295" t="s">
        <v>230</v>
      </c>
      <c r="I100" s="296">
        <f>I96/I98</f>
        <v>0.9186991304274047</v>
      </c>
    </row>
    <row r="101" spans="2:43" x14ac:dyDescent="0.2">
      <c r="B101" s="293" t="s">
        <v>231</v>
      </c>
      <c r="C101" s="294">
        <f>1-C100</f>
        <v>9.0701418813018408E-2</v>
      </c>
      <c r="E101" s="295" t="s">
        <v>231</v>
      </c>
      <c r="G101" s="297"/>
      <c r="I101" s="296">
        <f>1-I100</f>
        <v>8.1300869572595302E-2</v>
      </c>
    </row>
    <row r="102" spans="2:43" x14ac:dyDescent="0.2">
      <c r="B102" s="293" t="s">
        <v>273</v>
      </c>
      <c r="C102" s="298">
        <f>C95/G26</f>
        <v>20.760135109323635</v>
      </c>
      <c r="E102" s="191" t="s">
        <v>233</v>
      </c>
      <c r="I102" s="332">
        <f>('WACC calculation'!D11-G89/I95)/(1+G89/I95)</f>
        <v>3.4477618842799158E-2</v>
      </c>
    </row>
    <row r="103" spans="2:43" x14ac:dyDescent="0.2">
      <c r="B103" s="293"/>
      <c r="C103" s="298"/>
      <c r="I103" s="299"/>
    </row>
    <row r="104" spans="2:43" x14ac:dyDescent="0.2">
      <c r="B104" s="268" t="s">
        <v>258</v>
      </c>
      <c r="C104" s="204"/>
      <c r="D104" s="204"/>
      <c r="I104" s="282"/>
    </row>
    <row r="105" spans="2:43" ht="18" x14ac:dyDescent="0.35">
      <c r="B105" s="273"/>
      <c r="C105" s="300" t="s">
        <v>259</v>
      </c>
      <c r="D105" s="300" t="s">
        <v>274</v>
      </c>
      <c r="G105" s="203"/>
      <c r="H105" s="203"/>
      <c r="I105" s="282"/>
      <c r="J105" s="203"/>
      <c r="K105" s="204"/>
      <c r="L105" s="204"/>
      <c r="M105" s="204"/>
      <c r="N105" s="204"/>
    </row>
    <row r="106" spans="2:43" x14ac:dyDescent="0.2">
      <c r="B106" s="273" t="s">
        <v>261</v>
      </c>
      <c r="C106" s="301">
        <f>C98</f>
        <v>42363.649726986572</v>
      </c>
      <c r="D106" s="301">
        <f>I98</f>
        <v>47262.017694711416</v>
      </c>
      <c r="H106" s="207"/>
      <c r="I106" s="282"/>
      <c r="N106" s="207"/>
    </row>
    <row r="107" spans="2:43" x14ac:dyDescent="0.2">
      <c r="B107" s="273" t="s">
        <v>235</v>
      </c>
      <c r="C107" s="301">
        <f>I65</f>
        <v>207.15437400000002</v>
      </c>
      <c r="D107" s="301">
        <f>C107</f>
        <v>207.15437400000002</v>
      </c>
      <c r="H107" s="207"/>
      <c r="I107" s="282"/>
      <c r="N107" s="207"/>
    </row>
    <row r="108" spans="2:43" ht="16" thickBot="1" x14ac:dyDescent="0.25">
      <c r="B108" s="302" t="s">
        <v>262</v>
      </c>
      <c r="C108" s="303">
        <f>C106/C107</f>
        <v>204.50280102213321</v>
      </c>
      <c r="D108" s="303">
        <f t="shared" ref="D108" si="13">D106/D107</f>
        <v>228.14877997561089</v>
      </c>
      <c r="E108" s="304"/>
      <c r="F108" s="304"/>
      <c r="G108" s="304"/>
      <c r="H108" s="305"/>
      <c r="I108" s="306"/>
      <c r="N108" s="207"/>
    </row>
    <row r="109" spans="2:43" x14ac:dyDescent="0.2">
      <c r="F109" s="212"/>
    </row>
    <row r="110" spans="2:43" x14ac:dyDescent="0.2">
      <c r="B110" s="203" t="s">
        <v>275</v>
      </c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Q110" s="203"/>
      <c r="AP110" s="203"/>
      <c r="AQ110" s="203"/>
    </row>
    <row r="111" spans="2:43" x14ac:dyDescent="0.2">
      <c r="B111" s="206"/>
    </row>
    <row r="112" spans="2:43" ht="17.25" customHeight="1" x14ac:dyDescent="0.35">
      <c r="B112" s="213"/>
      <c r="C112" s="206"/>
      <c r="D112" s="214" t="s">
        <v>262</v>
      </c>
      <c r="E112" s="205"/>
      <c r="F112" s="205"/>
      <c r="G112" s="205"/>
      <c r="H112" s="205"/>
      <c r="I112" s="205"/>
      <c r="J112" s="215"/>
      <c r="L112" s="214" t="s">
        <v>276</v>
      </c>
      <c r="M112" s="205"/>
      <c r="N112" s="205"/>
      <c r="O112" s="205"/>
      <c r="P112" s="205"/>
      <c r="Q112" s="205"/>
      <c r="AP112" s="205"/>
      <c r="AQ112" s="205"/>
    </row>
    <row r="113" spans="2:43" ht="15" customHeight="1" x14ac:dyDescent="0.2">
      <c r="B113" s="213"/>
      <c r="D113" s="211"/>
      <c r="E113" s="216" t="s">
        <v>277</v>
      </c>
      <c r="F113" s="216"/>
      <c r="G113" s="216"/>
      <c r="H113" s="216"/>
      <c r="I113" s="216"/>
      <c r="J113" s="217"/>
      <c r="L113" s="211"/>
      <c r="M113" s="216" t="s">
        <v>277</v>
      </c>
      <c r="N113" s="216"/>
      <c r="O113" s="216"/>
      <c r="P113" s="216"/>
      <c r="Q113" s="216"/>
      <c r="AP113" s="216"/>
      <c r="AQ113" s="216"/>
    </row>
    <row r="114" spans="2:43" ht="15" customHeight="1" x14ac:dyDescent="0.2">
      <c r="B114" s="213"/>
      <c r="C114" s="218"/>
      <c r="D114" s="219">
        <f>C77</f>
        <v>218.58988139319837</v>
      </c>
      <c r="E114" s="220">
        <f t="shared" ref="E114" si="14">F114-0.005</f>
        <v>1.9999999999999997E-2</v>
      </c>
      <c r="F114" s="221">
        <f>G114-0.005</f>
        <v>2.4999999999999998E-2</v>
      </c>
      <c r="G114" s="222">
        <v>0.03</v>
      </c>
      <c r="H114" s="221">
        <f>G114+0.005</f>
        <v>3.4999999999999996E-2</v>
      </c>
      <c r="I114" s="221">
        <f t="shared" ref="I114" si="15">H114+0.005</f>
        <v>3.9999999999999994E-2</v>
      </c>
      <c r="J114" s="223"/>
      <c r="L114" s="224">
        <f>C81</f>
        <v>16.15661758846241</v>
      </c>
      <c r="M114" s="220">
        <f t="shared" ref="M114" si="16">N114-0.005</f>
        <v>1.9999999999999997E-2</v>
      </c>
      <c r="N114" s="221">
        <f>O114-0.005</f>
        <v>2.4999999999999998E-2</v>
      </c>
      <c r="O114" s="222">
        <v>0.03</v>
      </c>
      <c r="P114" s="221">
        <f>O114+0.005</f>
        <v>3.4999999999999996E-2</v>
      </c>
      <c r="Q114" s="221">
        <f t="shared" ref="Q114" si="17">P114+0.005</f>
        <v>3.9999999999999994E-2</v>
      </c>
      <c r="AP114" s="221">
        <f>AO114+0.005</f>
        <v>5.0000000000000001E-3</v>
      </c>
      <c r="AQ114" s="221">
        <f t="shared" ref="AQ114" si="18">AP114+0.005</f>
        <v>0.01</v>
      </c>
    </row>
    <row r="115" spans="2:43" ht="15" customHeight="1" x14ac:dyDescent="0.2">
      <c r="B115" s="213"/>
      <c r="D115" s="225">
        <f t="shared" ref="D115" si="19">D116+0.005</f>
        <v>7.0000000000000007E-2</v>
      </c>
      <c r="E115" s="226">
        <f t="dataTable" ref="E115:I119" dt2D="1" dtr="1" r1="C46" r2="H6"/>
        <v>162.91322629821829</v>
      </c>
      <c r="F115" s="226">
        <v>181.88797608112623</v>
      </c>
      <c r="G115" s="226">
        <v>205.60641330976125</v>
      </c>
      <c r="H115" s="226">
        <v>236.10154688943473</v>
      </c>
      <c r="I115" s="226">
        <v>276.7617249956661</v>
      </c>
      <c r="J115" s="227"/>
      <c r="L115" s="225">
        <f t="shared" ref="L115" si="20">L116+0.005</f>
        <v>7.0000000000000007E-2</v>
      </c>
      <c r="M115" s="228">
        <f t="dataTable" ref="M115:Q119" dt2D="1" dtr="1" r1="C46" r2="H6" ca="1"/>
        <v>12.356524467110722</v>
      </c>
      <c r="N115" s="228">
        <v>13.651606149126119</v>
      </c>
      <c r="O115" s="228">
        <v>15.270458251645371</v>
      </c>
      <c r="P115" s="228">
        <v>17.351839526312972</v>
      </c>
      <c r="Q115" s="228">
        <v>20.127014559203111</v>
      </c>
      <c r="AP115" s="228" t="e">
        <v>#DIV/0!</v>
      </c>
      <c r="AQ115" s="228" t="e">
        <v>#DIV/0!</v>
      </c>
    </row>
    <row r="116" spans="2:43" ht="15" customHeight="1" x14ac:dyDescent="0.2">
      <c r="B116" s="213"/>
      <c r="D116" s="225">
        <f>D117+0.005</f>
        <v>6.5000000000000002E-2</v>
      </c>
      <c r="E116" s="226">
        <v>183.04549017521788</v>
      </c>
      <c r="F116" s="226">
        <v>206.90220672355474</v>
      </c>
      <c r="G116" s="226">
        <v>237.57512799998796</v>
      </c>
      <c r="H116" s="226">
        <v>278.4723563685655</v>
      </c>
      <c r="I116" s="226">
        <v>335.72847608457408</v>
      </c>
      <c r="J116" s="227"/>
      <c r="L116" s="225">
        <f>L117+0.005</f>
        <v>6.5000000000000002E-2</v>
      </c>
      <c r="M116" s="228">
        <v>13.730609841774706</v>
      </c>
      <c r="N116" s="228">
        <v>15.358899908746524</v>
      </c>
      <c r="O116" s="228">
        <v>17.452415709138869</v>
      </c>
      <c r="P116" s="228">
        <v>20.243770109661991</v>
      </c>
      <c r="Q116" s="228">
        <v>24.151666270394362</v>
      </c>
      <c r="AP116" s="228" t="e">
        <v>#DIV/0!</v>
      </c>
      <c r="AQ116" s="228" t="e">
        <v>#DIV/0!</v>
      </c>
    </row>
    <row r="117" spans="2:43" ht="15" customHeight="1" x14ac:dyDescent="0.2">
      <c r="B117" s="213"/>
      <c r="C117" s="218" t="s">
        <v>278</v>
      </c>
      <c r="D117" s="229">
        <v>0.06</v>
      </c>
      <c r="E117" s="226">
        <v>208.21169584122961</v>
      </c>
      <c r="F117" s="226">
        <v>239.06428531155325</v>
      </c>
      <c r="G117" s="226">
        <v>280.2010712719848</v>
      </c>
      <c r="H117" s="226">
        <v>337.79257161658882</v>
      </c>
      <c r="I117" s="226">
        <v>424.17982213349507</v>
      </c>
      <c r="J117" s="227"/>
      <c r="K117" s="218" t="s">
        <v>278</v>
      </c>
      <c r="L117" s="229">
        <v>0.06</v>
      </c>
      <c r="M117" s="228">
        <v>15.448276337342534</v>
      </c>
      <c r="N117" s="228">
        <v>17.554055012840504</v>
      </c>
      <c r="O117" s="228">
        <v>20.361759913504464</v>
      </c>
      <c r="P117" s="228">
        <v>24.292546774434005</v>
      </c>
      <c r="Q117" s="228">
        <v>30.188727065828317</v>
      </c>
      <c r="AP117" s="228" t="e">
        <v>#DIV/0!</v>
      </c>
      <c r="AQ117" s="228" t="e">
        <v>#DIV/0!</v>
      </c>
    </row>
    <row r="118" spans="2:43" ht="15" customHeight="1" x14ac:dyDescent="0.2">
      <c r="B118" s="213"/>
      <c r="D118" s="225">
        <f>D117-0.005</f>
        <v>5.5E-2</v>
      </c>
      <c r="E118" s="226">
        <v>240.56925815814998</v>
      </c>
      <c r="F118" s="226">
        <v>281.94814757608242</v>
      </c>
      <c r="G118" s="226">
        <v>339.87859276118775</v>
      </c>
      <c r="H118" s="226">
        <v>426.77426053884579</v>
      </c>
      <c r="I118" s="226">
        <v>571.60037350160917</v>
      </c>
      <c r="J118" s="227"/>
      <c r="L118" s="225">
        <f>L117-0.005</f>
        <v>5.5E-2</v>
      </c>
      <c r="M118" s="228">
        <v>17.656773772658546</v>
      </c>
      <c r="N118" s="228">
        <v>20.48100293617442</v>
      </c>
      <c r="O118" s="228">
        <v>24.434923765096634</v>
      </c>
      <c r="P118" s="228">
        <v>30.365805008479956</v>
      </c>
      <c r="Q118" s="228">
        <v>40.250607080785493</v>
      </c>
      <c r="AP118" s="228" t="e">
        <v>#DIV/0!</v>
      </c>
      <c r="AQ118" s="228" t="e">
        <v>#DIV/0!</v>
      </c>
    </row>
    <row r="119" spans="2:43" ht="15" customHeight="1" x14ac:dyDescent="0.2">
      <c r="B119" s="230" t="s">
        <v>279</v>
      </c>
      <c r="D119" s="231">
        <f>D118-0.005</f>
        <v>0.05</v>
      </c>
      <c r="E119" s="226">
        <v>283.71386876530522</v>
      </c>
      <c r="F119" s="226">
        <v>341.9868780436052</v>
      </c>
      <c r="G119" s="226">
        <v>429.39639196105531</v>
      </c>
      <c r="H119" s="226">
        <v>575.07891515680535</v>
      </c>
      <c r="I119" s="226">
        <v>866.44396154830531</v>
      </c>
      <c r="J119" s="227"/>
      <c r="L119" s="231">
        <f>L118-0.005</f>
        <v>0.05</v>
      </c>
      <c r="M119" s="228">
        <v>20.601518526307192</v>
      </c>
      <c r="N119" s="228">
        <v>24.578820347710913</v>
      </c>
      <c r="O119" s="228">
        <v>30.544773079816498</v>
      </c>
      <c r="P119" s="228">
        <v>40.4880276333258</v>
      </c>
      <c r="Q119" s="228">
        <v>60.374536740344396</v>
      </c>
      <c r="AP119" s="228" t="e">
        <v>#DIV/0!</v>
      </c>
      <c r="AQ119" s="228" t="e">
        <v>#DIV/0!</v>
      </c>
    </row>
    <row r="120" spans="2:43" ht="15" customHeight="1" x14ac:dyDescent="0.2">
      <c r="B120" s="230" t="s">
        <v>280</v>
      </c>
      <c r="E120" s="232"/>
      <c r="F120" s="232"/>
      <c r="G120" s="232"/>
      <c r="H120" s="232"/>
      <c r="I120" s="232"/>
      <c r="J120" s="233"/>
    </row>
    <row r="121" spans="2:43" ht="17.25" customHeight="1" x14ac:dyDescent="0.35">
      <c r="B121" s="213"/>
      <c r="D121" s="214" t="s">
        <v>262</v>
      </c>
      <c r="E121" s="205"/>
      <c r="F121" s="205"/>
      <c r="G121" s="205"/>
      <c r="H121" s="205"/>
      <c r="I121" s="205"/>
      <c r="J121" s="215"/>
      <c r="L121" s="214" t="s">
        <v>233</v>
      </c>
      <c r="M121" s="205"/>
      <c r="N121" s="205"/>
      <c r="O121" s="205"/>
      <c r="P121" s="205"/>
      <c r="Q121" s="205"/>
      <c r="AP121" s="205"/>
      <c r="AQ121" s="205"/>
    </row>
    <row r="122" spans="2:43" ht="15" customHeight="1" x14ac:dyDescent="0.2">
      <c r="B122" s="213"/>
      <c r="E122" s="216" t="s">
        <v>281</v>
      </c>
      <c r="F122" s="216"/>
      <c r="G122" s="216"/>
      <c r="H122" s="216"/>
      <c r="I122" s="216"/>
      <c r="J122" s="217"/>
      <c r="M122" s="216" t="s">
        <v>281</v>
      </c>
      <c r="N122" s="216"/>
      <c r="O122" s="216"/>
      <c r="P122" s="216"/>
      <c r="Q122" s="216"/>
      <c r="AP122" s="216"/>
      <c r="AQ122" s="216"/>
    </row>
    <row r="123" spans="2:43" ht="15" customHeight="1" x14ac:dyDescent="0.2">
      <c r="B123" s="213"/>
      <c r="D123" s="234">
        <f>D77</f>
        <v>193.02286141537462</v>
      </c>
      <c r="E123" s="235">
        <f t="shared" ref="E123" si="21">F123-0.5</f>
        <v>12</v>
      </c>
      <c r="F123" s="235">
        <f>G123-0.5</f>
        <v>12.5</v>
      </c>
      <c r="G123" s="236">
        <v>13</v>
      </c>
      <c r="H123" s="235">
        <f>G123+0.5</f>
        <v>13.5</v>
      </c>
      <c r="I123" s="235">
        <f t="shared" ref="I123" si="22">H123+0.5</f>
        <v>14</v>
      </c>
      <c r="J123" s="237"/>
      <c r="L123" s="299">
        <f>I55</f>
        <v>2.518769378172846E-2</v>
      </c>
      <c r="M123" s="235">
        <f t="shared" ref="M123" si="23">N123-0.5</f>
        <v>12</v>
      </c>
      <c r="N123" s="235">
        <f>O123-0.5</f>
        <v>12.5</v>
      </c>
      <c r="O123" s="236">
        <v>13</v>
      </c>
      <c r="P123" s="235">
        <f>O123+0.5</f>
        <v>13.5</v>
      </c>
      <c r="Q123" s="235">
        <f t="shared" ref="Q123" si="24">P123+0.5</f>
        <v>14</v>
      </c>
      <c r="AP123" s="235">
        <f>AO123+0.5</f>
        <v>0.5</v>
      </c>
      <c r="AQ123" s="235">
        <f t="shared" ref="AQ123" si="25">AP123+0.5</f>
        <v>1</v>
      </c>
    </row>
    <row r="124" spans="2:43" ht="15" customHeight="1" x14ac:dyDescent="0.2">
      <c r="B124" s="213"/>
      <c r="D124" s="225">
        <f t="shared" ref="D124" si="26">D125+0.005</f>
        <v>7.0000000000000007E-2</v>
      </c>
      <c r="E124" s="226">
        <f t="dataTable" ref="E124:I128" dt2D="1" dtr="1" r1="I47" r2="H6" ca="1"/>
        <v>177.0405974319213</v>
      </c>
      <c r="F124" s="226">
        <v>184.4122676079399</v>
      </c>
      <c r="G124" s="226">
        <v>191.78393778395846</v>
      </c>
      <c r="H124" s="226">
        <v>199.15560795997706</v>
      </c>
      <c r="I124" s="226">
        <v>206.52727813599566</v>
      </c>
      <c r="J124" s="227"/>
      <c r="L124" s="225">
        <f t="shared" ref="L124" si="27">L125+0.005</f>
        <v>7.0000000000000007E-2</v>
      </c>
      <c r="M124" s="400">
        <f t="dataTable" ref="M124:Q128" dt2D="1" dtr="1" r1="I47" r2="H6" ca="1"/>
        <v>2.3820270964768707E-2</v>
      </c>
      <c r="N124" s="400">
        <v>2.5590794515862929E-2</v>
      </c>
      <c r="O124" s="400">
        <v>2.7230567821613351E-2</v>
      </c>
      <c r="P124" s="400">
        <v>2.8753558668125297E-2</v>
      </c>
      <c r="Q124" s="400">
        <v>3.0171813717399184E-2</v>
      </c>
      <c r="AP124" s="400" t="e">
        <v>#DIV/0!</v>
      </c>
      <c r="AQ124" s="400" t="e">
        <v>#DIV/0!</v>
      </c>
    </row>
    <row r="125" spans="2:43" ht="15" customHeight="1" x14ac:dyDescent="0.2">
      <c r="B125" s="213"/>
      <c r="D125" s="225">
        <f>D126+0.005</f>
        <v>6.5000000000000002E-2</v>
      </c>
      <c r="E125" s="226">
        <v>179.04298772722336</v>
      </c>
      <c r="F125" s="226">
        <v>186.49244554910581</v>
      </c>
      <c r="G125" s="226">
        <v>193.94190337098823</v>
      </c>
      <c r="H125" s="226">
        <v>201.39136119287068</v>
      </c>
      <c r="I125" s="226">
        <v>208.84081901475312</v>
      </c>
      <c r="J125" s="227"/>
      <c r="L125" s="225">
        <f>L126+0.005</f>
        <v>6.5000000000000002E-2</v>
      </c>
      <c r="M125" s="400">
        <v>1.9036064091101559E-2</v>
      </c>
      <c r="N125" s="400">
        <v>2.0798314167657955E-2</v>
      </c>
      <c r="O125" s="400">
        <v>2.2430424981325432E-2</v>
      </c>
      <c r="P125" s="400">
        <v>2.3946299048180783E-2</v>
      </c>
      <c r="Q125" s="400">
        <v>2.5357926737411336E-2</v>
      </c>
      <c r="AP125" s="400" t="e">
        <v>#DIV/0!</v>
      </c>
      <c r="AQ125" s="400" t="e">
        <v>#DIV/0!</v>
      </c>
    </row>
    <row r="126" spans="2:43" ht="15" customHeight="1" x14ac:dyDescent="0.2">
      <c r="B126" s="213"/>
      <c r="C126" s="218" t="s">
        <v>278</v>
      </c>
      <c r="D126" s="229">
        <v>0.06</v>
      </c>
      <c r="E126" s="226">
        <v>181.07582647246923</v>
      </c>
      <c r="F126" s="226">
        <v>188.60426465199851</v>
      </c>
      <c r="G126" s="226">
        <v>196.13270283152778</v>
      </c>
      <c r="H126" s="226">
        <v>203.66114101105705</v>
      </c>
      <c r="I126" s="226">
        <v>211.18957919058636</v>
      </c>
      <c r="J126" s="227"/>
      <c r="K126" s="218" t="s">
        <v>278</v>
      </c>
      <c r="L126" s="229">
        <v>0.06</v>
      </c>
      <c r="M126" s="400">
        <v>1.425185721743441E-2</v>
      </c>
      <c r="N126" s="400">
        <v>1.6005833819452985E-2</v>
      </c>
      <c r="O126" s="400">
        <v>1.7630282141037516E-2</v>
      </c>
      <c r="P126" s="400">
        <v>1.9139039428236269E-2</v>
      </c>
      <c r="Q126" s="400">
        <v>2.0544039757423485E-2</v>
      </c>
      <c r="AP126" s="400" t="e">
        <v>#DIV/0!</v>
      </c>
      <c r="AQ126" s="400" t="e">
        <v>#DIV/0!</v>
      </c>
    </row>
    <row r="127" spans="2:43" ht="15" customHeight="1" x14ac:dyDescent="0.2">
      <c r="B127" s="213"/>
      <c r="D127" s="225">
        <f>D126-0.005</f>
        <v>5.5E-2</v>
      </c>
      <c r="E127" s="226">
        <v>183.13972486676687</v>
      </c>
      <c r="F127" s="226">
        <v>190.74836015963174</v>
      </c>
      <c r="G127" s="226">
        <v>198.35699545249653</v>
      </c>
      <c r="H127" s="226">
        <v>205.96563074536132</v>
      </c>
      <c r="I127" s="226">
        <v>213.57426603822617</v>
      </c>
      <c r="J127" s="227"/>
      <c r="L127" s="225">
        <f>L126-0.005</f>
        <v>5.5E-2</v>
      </c>
      <c r="M127" s="400">
        <v>9.4676503437672692E-3</v>
      </c>
      <c r="N127" s="400">
        <v>1.121335347124802E-2</v>
      </c>
      <c r="O127" s="400">
        <v>1.2830139300749605E-2</v>
      </c>
      <c r="P127" s="400">
        <v>1.4331779808291759E-2</v>
      </c>
      <c r="Q127" s="400">
        <v>1.5730152777435641E-2</v>
      </c>
      <c r="AP127" s="400" t="e">
        <v>#DIV/0!</v>
      </c>
      <c r="AQ127" s="400" t="e">
        <v>#DIV/0!</v>
      </c>
    </row>
    <row r="128" spans="2:43" ht="15" customHeight="1" x14ac:dyDescent="0.2">
      <c r="B128" s="213"/>
      <c r="D128" s="231">
        <f>D127-0.005</f>
        <v>0.05</v>
      </c>
      <c r="E128" s="226">
        <v>185.23530936841422</v>
      </c>
      <c r="F128" s="226">
        <v>192.92538317605693</v>
      </c>
      <c r="G128" s="226">
        <v>200.61545698369954</v>
      </c>
      <c r="H128" s="226">
        <v>208.30553079134219</v>
      </c>
      <c r="I128" s="226">
        <v>215.99560459898484</v>
      </c>
      <c r="J128" s="227"/>
      <c r="L128" s="231">
        <f>L127-0.005</f>
        <v>0.05</v>
      </c>
      <c r="M128" s="400">
        <v>4.6834434701001288E-3</v>
      </c>
      <c r="N128" s="400">
        <v>6.4208731230430555E-3</v>
      </c>
      <c r="O128" s="400">
        <v>8.0299964604616941E-3</v>
      </c>
      <c r="P128" s="400">
        <v>9.5245201883472526E-3</v>
      </c>
      <c r="Q128" s="400">
        <v>1.0916265797447795E-2</v>
      </c>
      <c r="AP128" s="400" t="e">
        <v>#DIV/0!</v>
      </c>
      <c r="AQ128" s="400" t="e">
        <v>#DIV/0!</v>
      </c>
    </row>
    <row r="129" spans="2:42" x14ac:dyDescent="0.2">
      <c r="J129" s="238"/>
    </row>
    <row r="130" spans="2:42" x14ac:dyDescent="0.2">
      <c r="B130" s="239" t="s">
        <v>282</v>
      </c>
      <c r="C130" s="239"/>
      <c r="D130" s="239"/>
      <c r="E130" s="239"/>
      <c r="G130" s="239" t="s">
        <v>283</v>
      </c>
      <c r="H130" s="239"/>
      <c r="I130" s="239"/>
      <c r="J130" s="240"/>
      <c r="K130" s="239"/>
      <c r="L130" s="239"/>
      <c r="M130" s="239"/>
      <c r="N130" s="239"/>
      <c r="O130" s="239"/>
      <c r="P130" s="239"/>
      <c r="AP130" s="239"/>
    </row>
    <row r="131" spans="2:42" x14ac:dyDescent="0.2">
      <c r="J131" s="238"/>
    </row>
    <row r="132" spans="2:42" x14ac:dyDescent="0.2">
      <c r="J132" s="238"/>
    </row>
    <row r="133" spans="2:42" x14ac:dyDescent="0.2">
      <c r="J133" s="238"/>
    </row>
    <row r="134" spans="2:42" x14ac:dyDescent="0.2">
      <c r="J134" s="238"/>
    </row>
    <row r="135" spans="2:42" x14ac:dyDescent="0.2">
      <c r="J135" s="238"/>
    </row>
    <row r="136" spans="2:42" x14ac:dyDescent="0.2">
      <c r="J136" s="238"/>
    </row>
    <row r="137" spans="2:42" x14ac:dyDescent="0.2">
      <c r="J137" s="238"/>
    </row>
    <row r="138" spans="2:42" x14ac:dyDescent="0.2">
      <c r="J138" s="238"/>
    </row>
    <row r="139" spans="2:42" x14ac:dyDescent="0.2">
      <c r="J139" s="238"/>
    </row>
    <row r="140" spans="2:42" x14ac:dyDescent="0.2">
      <c r="J140" s="238"/>
    </row>
    <row r="141" spans="2:42" x14ac:dyDescent="0.2">
      <c r="J141" s="238"/>
    </row>
    <row r="142" spans="2:42" x14ac:dyDescent="0.2">
      <c r="J142" s="238"/>
    </row>
    <row r="143" spans="2:42" x14ac:dyDescent="0.2">
      <c r="J143" s="238"/>
    </row>
    <row r="144" spans="2:42" x14ac:dyDescent="0.2">
      <c r="J144" s="238"/>
      <c r="M144" s="241"/>
    </row>
    <row r="145" spans="2:43" x14ac:dyDescent="0.2">
      <c r="J145" s="238"/>
    </row>
    <row r="146" spans="2:43" x14ac:dyDescent="0.2">
      <c r="J146" s="238"/>
    </row>
    <row r="147" spans="2:43" x14ac:dyDescent="0.2">
      <c r="J147" s="238"/>
    </row>
    <row r="148" spans="2:43" x14ac:dyDescent="0.2">
      <c r="J148" s="238"/>
    </row>
    <row r="149" spans="2:43" x14ac:dyDescent="0.2">
      <c r="J149" s="238"/>
    </row>
    <row r="150" spans="2:43" x14ac:dyDescent="0.2">
      <c r="J150" s="238"/>
    </row>
    <row r="151" spans="2:43" x14ac:dyDescent="0.2">
      <c r="B151" s="242"/>
      <c r="C151" s="243" t="s">
        <v>284</v>
      </c>
      <c r="D151" s="243" t="s">
        <v>285</v>
      </c>
      <c r="E151" s="244" t="s">
        <v>286</v>
      </c>
      <c r="G151" s="242"/>
      <c r="H151" s="245"/>
      <c r="I151" s="245"/>
      <c r="J151" s="246"/>
      <c r="K151" s="245"/>
      <c r="L151" s="245"/>
      <c r="M151" s="245"/>
      <c r="N151" s="245"/>
      <c r="O151" s="243" t="s">
        <v>284</v>
      </c>
      <c r="P151" s="243" t="s">
        <v>285</v>
      </c>
      <c r="Q151" s="244" t="s">
        <v>286</v>
      </c>
      <c r="AP151" s="243" t="s">
        <v>285</v>
      </c>
      <c r="AQ151" s="244" t="s">
        <v>286</v>
      </c>
    </row>
    <row r="152" spans="2:43" x14ac:dyDescent="0.2">
      <c r="B152" s="247" t="str">
        <f>"DCF Value at "&amp;TEXT(E123,"0.0x")&amp;"-"&amp;TEXT(I123,"0.0x")&amp;" Exit EBITDA Range at "&amp;TEXT(D126,"0.0%")&amp;" WACC"</f>
        <v>DCF Value at 12.0x-14.0x Exit EBITDA Range at 6.0% WACC</v>
      </c>
      <c r="C152" s="248">
        <f>E126</f>
        <v>181.07582647246923</v>
      </c>
      <c r="D152" s="248">
        <f>E152-C152</f>
        <v>30.113752718117127</v>
      </c>
      <c r="E152" s="249">
        <f>I126</f>
        <v>211.18957919058636</v>
      </c>
      <c r="G152" s="247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38"/>
      <c r="O152" s="250">
        <f>M117</f>
        <v>15.448276337342534</v>
      </c>
      <c r="P152" s="250">
        <f>Q152-O152</f>
        <v>14.740450728485783</v>
      </c>
      <c r="Q152" s="251">
        <f>Q117</f>
        <v>30.188727065828317</v>
      </c>
      <c r="AP152" s="250" t="e">
        <f>AQ152-AO152</f>
        <v>#DIV/0!</v>
      </c>
      <c r="AQ152" s="251" t="e">
        <f>AQ117</f>
        <v>#DIV/0!</v>
      </c>
    </row>
    <row r="153" spans="2:43" x14ac:dyDescent="0.2">
      <c r="B153" s="252" t="str">
        <f>"DCF Value at "&amp;TEXT(E114,"0.0%")&amp;"-"&amp;TEXT(I114,"0.0%")&amp;" Perpetuity Range at "&amp;TEXT(D126,"0.0%")&amp;" WACC"</f>
        <v>DCF Value at 2.0%-4.0% Perpetuity Range at 6.0% WACC</v>
      </c>
      <c r="C153" s="248">
        <f>E117</f>
        <v>208.21169584122961</v>
      </c>
      <c r="D153" s="248">
        <f>E153-C153</f>
        <v>215.96812629226545</v>
      </c>
      <c r="E153" s="249">
        <f>I117</f>
        <v>424.17982213349507</v>
      </c>
      <c r="G153" s="252" t="str">
        <f>"LTM EBITDA Purchase Multiple at "&amp;TEXT(M126,"0.0x")&amp;"-"&amp;TEXT(Q126,"0.0x")&amp;" Exit EBITDA Multiple at "&amp;TEXT(L126,"0.0%")&amp;" WACC"</f>
        <v>LTM EBITDA Purchase Multiple at 0.0x-0.0x Exit EBITDA Multiple at 6.0% WACC</v>
      </c>
      <c r="J153" s="238"/>
      <c r="O153" s="250">
        <f>M126</f>
        <v>1.425185721743441E-2</v>
      </c>
      <c r="P153" s="250">
        <f>Q153-O153</f>
        <v>6.2921825399890746E-3</v>
      </c>
      <c r="Q153" s="251">
        <f>Q126</f>
        <v>2.0544039757423485E-2</v>
      </c>
      <c r="AP153" s="250" t="e">
        <f>AQ153-AO153</f>
        <v>#DIV/0!</v>
      </c>
      <c r="AQ153" s="251" t="e">
        <f>AQ126</f>
        <v>#DIV/0!</v>
      </c>
    </row>
    <row r="154" spans="2:43" x14ac:dyDescent="0.2">
      <c r="B154" s="253" t="s">
        <v>287</v>
      </c>
      <c r="C154" s="254">
        <v>169.5</v>
      </c>
      <c r="D154" s="254">
        <f>E154-C154</f>
        <v>158.35000000000002</v>
      </c>
      <c r="E154" s="255">
        <v>327.85</v>
      </c>
      <c r="G154" s="253" t="str">
        <f>"LTM EBITDA Purchase Multiple at "&amp;TEXT(L128,"0.0%")&amp;"-"&amp;TEXT(L124,"0.0%")&amp;" WACC at "&amp;TEXT(O123,"0.0x")&amp;" Exit EBITDA"</f>
        <v>LTM EBITDA Purchase Multiple at 5.0%-7.0% WACC at 13.0x Exit EBITDA</v>
      </c>
      <c r="H154" s="256"/>
      <c r="I154" s="256"/>
      <c r="J154" s="257"/>
      <c r="K154" s="256"/>
      <c r="L154" s="256"/>
      <c r="M154" s="256"/>
      <c r="N154" s="256"/>
      <c r="O154" s="258">
        <f>O124</f>
        <v>2.7230567821613351E-2</v>
      </c>
      <c r="P154" s="258">
        <f>Q154-O154</f>
        <v>-1.9200571361151657E-2</v>
      </c>
      <c r="Q154" s="259">
        <f>O128</f>
        <v>8.0299964604616941E-3</v>
      </c>
      <c r="AP154" s="258">
        <f>AQ154-AO154</f>
        <v>0</v>
      </c>
      <c r="AQ154" s="259">
        <f>AO128</f>
        <v>0</v>
      </c>
    </row>
    <row r="155" spans="2:43" x14ac:dyDescent="0.2">
      <c r="J155" s="238"/>
    </row>
    <row r="156" spans="2:43" x14ac:dyDescent="0.2">
      <c r="J156" s="238"/>
    </row>
  </sheetData>
  <mergeCells count="4">
    <mergeCell ref="E14:G14"/>
    <mergeCell ref="M4:N4"/>
    <mergeCell ref="L3:N3"/>
    <mergeCell ref="R3:X3"/>
  </mergeCells>
  <conditionalFormatting sqref="E115:J119 E124:J128">
    <cfRule type="cellIs" dxfId="0" priority="1" operator="lessThan">
      <formula>$C$9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H31"/>
  <sheetViews>
    <sheetView workbookViewId="0">
      <selection activeCell="D11" sqref="D11"/>
    </sheetView>
  </sheetViews>
  <sheetFormatPr baseColWidth="10" defaultColWidth="9" defaultRowHeight="15" x14ac:dyDescent="0.2"/>
  <cols>
    <col min="1" max="1" width="9" style="260"/>
    <col min="2" max="2" width="25" style="260" bestFit="1" customWidth="1"/>
    <col min="3" max="3" width="24.83203125" style="260" bestFit="1" customWidth="1"/>
    <col min="4" max="4" width="12.1640625" style="260" bestFit="1" customWidth="1"/>
    <col min="5" max="5" width="19.83203125" style="260" bestFit="1" customWidth="1"/>
    <col min="6" max="6" width="8.6640625" style="260" bestFit="1" customWidth="1"/>
    <col min="7" max="8" width="9" style="260"/>
    <col min="9" max="9" width="10.1640625" style="260" bestFit="1" customWidth="1"/>
    <col min="10" max="16384" width="9" style="260"/>
  </cols>
  <sheetData>
    <row r="2" spans="2:8" x14ac:dyDescent="0.2">
      <c r="C2" s="388" t="s">
        <v>288</v>
      </c>
      <c r="D2" s="388" t="s">
        <v>289</v>
      </c>
      <c r="E2" s="388" t="str">
        <f>'Detail Data'!D2</f>
        <v>2025A</v>
      </c>
      <c r="F2" s="388" t="str">
        <f>'Detail Data'!E2</f>
        <v>2026F</v>
      </c>
      <c r="G2" s="388" t="str">
        <f>'Detail Data'!F2</f>
        <v>2027F</v>
      </c>
      <c r="H2" s="388" t="str">
        <f>'Detail Data'!G2</f>
        <v>2028F</v>
      </c>
    </row>
    <row r="3" spans="2:8" x14ac:dyDescent="0.2">
      <c r="B3" s="260" t="s">
        <v>290</v>
      </c>
      <c r="C3" s="401">
        <f>'Detail Data'!D3</f>
        <v>32582.646000000001</v>
      </c>
      <c r="D3" s="261">
        <f>C3/C5</f>
        <v>0.87438158896206775</v>
      </c>
      <c r="E3" s="402"/>
      <c r="F3" s="372"/>
      <c r="G3" s="372"/>
      <c r="H3" s="372"/>
    </row>
    <row r="4" spans="2:8" x14ac:dyDescent="0.2">
      <c r="B4" s="260" t="s">
        <v>291</v>
      </c>
      <c r="C4" s="401">
        <f>'Detail Data'!D34</f>
        <v>4681</v>
      </c>
      <c r="D4" s="261">
        <f>C4/C5</f>
        <v>0.12561841103793225</v>
      </c>
      <c r="E4" s="402"/>
      <c r="F4" s="402"/>
      <c r="G4" s="402"/>
      <c r="H4" s="402"/>
    </row>
    <row r="5" spans="2:8" x14ac:dyDescent="0.2">
      <c r="B5" s="260" t="s">
        <v>292</v>
      </c>
      <c r="C5" s="401">
        <f>C3+C4</f>
        <v>37263.646000000001</v>
      </c>
      <c r="F5" s="263"/>
      <c r="G5" s="262"/>
    </row>
    <row r="7" spans="2:8" x14ac:dyDescent="0.2">
      <c r="C7" s="260" t="s">
        <v>293</v>
      </c>
      <c r="D7" s="388" t="s">
        <v>294</v>
      </c>
      <c r="E7" s="388" t="s">
        <v>295</v>
      </c>
      <c r="F7" s="382" t="s">
        <v>296</v>
      </c>
      <c r="G7" s="388" t="s">
        <v>297</v>
      </c>
      <c r="H7" s="388"/>
    </row>
    <row r="8" spans="2:8" x14ac:dyDescent="0.2">
      <c r="C8" s="260" t="s">
        <v>298</v>
      </c>
      <c r="D8" s="264">
        <v>4.4600000000000001E-2</v>
      </c>
      <c r="E8" s="264"/>
      <c r="F8" s="264"/>
      <c r="G8" s="264"/>
      <c r="H8" s="264" t="s">
        <v>299</v>
      </c>
    </row>
    <row r="9" spans="2:8" x14ac:dyDescent="0.2">
      <c r="C9" s="260" t="s">
        <v>300</v>
      </c>
      <c r="D9" s="264">
        <v>5.28E-2</v>
      </c>
      <c r="E9" s="264"/>
      <c r="F9" s="264"/>
      <c r="G9" s="264"/>
      <c r="H9" s="264" t="s">
        <v>301</v>
      </c>
    </row>
    <row r="10" spans="2:8" x14ac:dyDescent="0.2">
      <c r="C10" s="260" t="s">
        <v>302</v>
      </c>
      <c r="D10" s="389">
        <f>(2/3)*G10+1/3</f>
        <v>0.41020000000000001</v>
      </c>
      <c r="E10" s="382">
        <f>C29</f>
        <v>0.34661866709107808</v>
      </c>
      <c r="F10" s="260">
        <v>0.34</v>
      </c>
      <c r="G10" s="382">
        <v>0.1153</v>
      </c>
      <c r="H10" s="388" t="s">
        <v>303</v>
      </c>
    </row>
    <row r="11" spans="2:8" x14ac:dyDescent="0.2">
      <c r="C11" s="260" t="s">
        <v>304</v>
      </c>
      <c r="D11" s="264">
        <f>D10*D8+D9</f>
        <v>7.1094920000000006E-2</v>
      </c>
      <c r="E11" s="264"/>
      <c r="F11" s="264"/>
      <c r="G11" s="264"/>
      <c r="H11" s="264"/>
    </row>
    <row r="12" spans="2:8" x14ac:dyDescent="0.2">
      <c r="D12" s="264"/>
    </row>
    <row r="13" spans="2:8" x14ac:dyDescent="0.2">
      <c r="C13" s="260" t="s">
        <v>305</v>
      </c>
      <c r="D13" s="264">
        <f>0.55%+D9</f>
        <v>5.8299999999999998E-2</v>
      </c>
      <c r="E13" s="264"/>
      <c r="F13" s="264"/>
      <c r="G13" s="264"/>
      <c r="H13" s="264" t="s">
        <v>306</v>
      </c>
    </row>
    <row r="14" spans="2:8" x14ac:dyDescent="0.2">
      <c r="C14" s="260" t="s">
        <v>204</v>
      </c>
      <c r="D14" s="264">
        <f>'Detail Data'!D20/'Detail Data'!D16</f>
        <v>0.2295525494276795</v>
      </c>
      <c r="E14" s="264"/>
      <c r="F14" s="264"/>
      <c r="G14" s="264"/>
      <c r="H14" s="264"/>
    </row>
    <row r="15" spans="2:8" x14ac:dyDescent="0.2">
      <c r="D15" s="264"/>
      <c r="E15" s="264"/>
      <c r="F15" s="264"/>
      <c r="G15" s="264"/>
      <c r="H15" s="264"/>
    </row>
    <row r="16" spans="2:8" x14ac:dyDescent="0.2">
      <c r="C16" s="260" t="s">
        <v>307</v>
      </c>
      <c r="D16" s="264">
        <f>D13*(1-D14)*D4+D11*D3</f>
        <v>6.7806502134778832E-2</v>
      </c>
      <c r="E16" s="264"/>
      <c r="F16" s="264"/>
      <c r="G16" s="264"/>
      <c r="H16" s="264"/>
    </row>
    <row r="20" spans="2:4" x14ac:dyDescent="0.2">
      <c r="B20" s="388" t="s">
        <v>308</v>
      </c>
      <c r="C20" s="383"/>
    </row>
    <row r="21" spans="2:4" x14ac:dyDescent="0.2">
      <c r="B21" s="388" t="s">
        <v>309</v>
      </c>
      <c r="C21" s="384">
        <v>0.61</v>
      </c>
      <c r="D21" s="260" t="s">
        <v>310</v>
      </c>
    </row>
    <row r="22" spans="2:4" x14ac:dyDescent="0.2">
      <c r="B22" s="388" t="s">
        <v>311</v>
      </c>
      <c r="C22" s="385">
        <v>0.43730000000000002</v>
      </c>
    </row>
    <row r="23" spans="2:4" x14ac:dyDescent="0.2">
      <c r="B23" s="388" t="s">
        <v>312</v>
      </c>
      <c r="C23" s="385">
        <v>0.1037</v>
      </c>
    </row>
    <row r="24" spans="2:4" x14ac:dyDescent="0.2">
      <c r="B24" s="388" t="s">
        <v>313</v>
      </c>
      <c r="C24" s="386">
        <f>C21/(1+(1-C23*C22))</f>
        <v>0.31207601308097815</v>
      </c>
    </row>
    <row r="25" spans="2:4" x14ac:dyDescent="0.2">
      <c r="C25" s="384"/>
    </row>
    <row r="26" spans="2:4" x14ac:dyDescent="0.2">
      <c r="B26" s="388" t="s">
        <v>314</v>
      </c>
      <c r="C26" s="387"/>
    </row>
    <row r="27" spans="2:4" x14ac:dyDescent="0.2">
      <c r="B27" s="388" t="s">
        <v>315</v>
      </c>
      <c r="C27" s="385">
        <f>C4/C3</f>
        <v>0.14366543466113832</v>
      </c>
    </row>
    <row r="28" spans="2:4" x14ac:dyDescent="0.2">
      <c r="B28" s="388" t="s">
        <v>312</v>
      </c>
      <c r="C28" s="385">
        <f>'Detail Data'!D20/'Detail Data'!D16</f>
        <v>0.2295525494276795</v>
      </c>
    </row>
    <row r="29" spans="2:4" x14ac:dyDescent="0.2">
      <c r="B29" s="388" t="s">
        <v>316</v>
      </c>
      <c r="C29" s="386">
        <f>C24*(1+(1-C28)*C27)</f>
        <v>0.34661866709107808</v>
      </c>
    </row>
    <row r="30" spans="2:4" x14ac:dyDescent="0.2">
      <c r="C30" s="384"/>
    </row>
    <row r="31" spans="2:4" x14ac:dyDescent="0.2">
      <c r="B31" s="388" t="s">
        <v>317</v>
      </c>
      <c r="C31" s="384">
        <f>'Detail Data'!D16/'Detail Data'!D19</f>
        <v>7.5788643533123032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A75F6-4D5D-48FC-B8C9-2750576B974E}">
  <dimension ref="B2:E7"/>
  <sheetViews>
    <sheetView zoomScale="235" zoomScaleNormal="235" workbookViewId="0">
      <selection activeCell="F2" sqref="F2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77" t="s">
        <v>318</v>
      </c>
      <c r="C2" s="377" t="s">
        <v>129</v>
      </c>
      <c r="D2" s="377" t="s">
        <v>128</v>
      </c>
      <c r="E2" s="377" t="s">
        <v>188</v>
      </c>
    </row>
    <row r="3" spans="2:5" x14ac:dyDescent="0.2">
      <c r="B3" s="378" t="s">
        <v>319</v>
      </c>
      <c r="C3" s="378">
        <v>13.8</v>
      </c>
      <c r="D3" s="378">
        <v>23.4</v>
      </c>
      <c r="E3" s="378">
        <v>3.05</v>
      </c>
    </row>
    <row r="4" spans="2:5" x14ac:dyDescent="0.2">
      <c r="B4" s="378" t="s">
        <v>320</v>
      </c>
      <c r="C4" s="378">
        <v>12.22</v>
      </c>
      <c r="D4" s="378">
        <v>21.34</v>
      </c>
      <c r="E4" s="378">
        <v>2.36</v>
      </c>
    </row>
    <row r="5" spans="2:5" x14ac:dyDescent="0.2">
      <c r="B5" s="378" t="s">
        <v>321</v>
      </c>
      <c r="C5" s="378">
        <v>19.079999999999998</v>
      </c>
      <c r="D5" s="378">
        <v>23.79</v>
      </c>
      <c r="E5" s="378">
        <v>4.16</v>
      </c>
    </row>
    <row r="6" spans="2:5" x14ac:dyDescent="0.2">
      <c r="B6" s="378" t="s">
        <v>322</v>
      </c>
      <c r="C6" s="378">
        <v>25.31</v>
      </c>
      <c r="D6" s="378">
        <v>29.87</v>
      </c>
      <c r="E6" s="378">
        <v>3.74</v>
      </c>
    </row>
    <row r="7" spans="2:5" x14ac:dyDescent="0.2">
      <c r="B7" s="378" t="s">
        <v>323</v>
      </c>
      <c r="C7" s="378">
        <f>AVERAGE(C4:C6)</f>
        <v>18.87</v>
      </c>
      <c r="D7" s="378">
        <f t="shared" ref="D7:E7" si="0">AVERAGE(D4:D6)</f>
        <v>25</v>
      </c>
      <c r="E7" s="378">
        <f t="shared" si="0"/>
        <v>3.42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7"/>
  <sheetViews>
    <sheetView zoomScaleNormal="100" workbookViewId="0">
      <selection activeCell="E7" sqref="E7"/>
    </sheetView>
  </sheetViews>
  <sheetFormatPr baseColWidth="10" defaultColWidth="8.6640625" defaultRowHeight="14" x14ac:dyDescent="0.2"/>
  <sheetData>
    <row r="1" spans="1:12" ht="12.75" customHeight="1" x14ac:dyDescent="0.2">
      <c r="A1" s="93"/>
      <c r="B1" s="93"/>
      <c r="C1" s="93"/>
      <c r="D1" s="179" t="s">
        <v>324</v>
      </c>
      <c r="E1" s="93"/>
      <c r="F1" s="93"/>
      <c r="G1" s="93"/>
      <c r="H1" s="93"/>
      <c r="I1" s="93"/>
      <c r="J1" s="93"/>
      <c r="K1" s="93"/>
      <c r="L1" s="93"/>
    </row>
    <row r="2" spans="1:12" ht="12.75" customHeight="1" x14ac:dyDescent="0.2">
      <c r="A2" s="93" t="s">
        <v>325</v>
      </c>
      <c r="B2" s="180">
        <f>'Detail Data'!E12</f>
        <v>19.048609178602746</v>
      </c>
      <c r="C2" s="93"/>
      <c r="D2" s="181" t="s">
        <v>19</v>
      </c>
      <c r="E2" s="93"/>
      <c r="F2" s="93"/>
      <c r="G2" s="93"/>
      <c r="H2" s="93"/>
      <c r="I2" s="93"/>
      <c r="J2" s="93"/>
      <c r="K2" s="93"/>
      <c r="L2" s="93"/>
    </row>
    <row r="3" spans="1:12" ht="12.75" customHeight="1" x14ac:dyDescent="0.2">
      <c r="A3" s="93" t="s">
        <v>326</v>
      </c>
      <c r="B3" s="182">
        <f>'Detail Data'!G7</f>
        <v>10.365781710914455</v>
      </c>
      <c r="C3" s="93"/>
      <c r="D3" s="183" t="s">
        <v>327</v>
      </c>
      <c r="E3" s="93"/>
      <c r="F3" s="93"/>
      <c r="G3" s="93"/>
      <c r="H3" s="93"/>
      <c r="I3" s="93"/>
      <c r="J3" s="93"/>
      <c r="K3" s="93"/>
      <c r="L3" s="93"/>
    </row>
    <row r="4" spans="1:12" ht="12.75" customHeight="1" x14ac:dyDescent="0.2">
      <c r="A4" s="93" t="s">
        <v>328</v>
      </c>
      <c r="B4" s="182">
        <f>B2*B3</f>
        <v>197.45372464191755</v>
      </c>
      <c r="C4" s="93"/>
      <c r="D4" s="183" t="s">
        <v>329</v>
      </c>
      <c r="E4" s="93"/>
      <c r="F4" s="93"/>
      <c r="G4" s="93"/>
      <c r="H4" s="93"/>
      <c r="I4" s="93"/>
      <c r="J4" s="93"/>
      <c r="K4" s="93"/>
      <c r="L4" s="93"/>
    </row>
    <row r="5" spans="1:12" ht="12.75" customHeight="1" x14ac:dyDescent="0.2">
      <c r="A5" s="93"/>
      <c r="B5" s="182"/>
      <c r="C5" s="93"/>
      <c r="D5" s="183"/>
      <c r="E5" s="93"/>
      <c r="F5" s="93"/>
      <c r="G5" s="93"/>
      <c r="H5" s="93"/>
      <c r="I5" s="93"/>
      <c r="J5" s="93"/>
      <c r="K5" s="93"/>
      <c r="L5" s="93"/>
    </row>
    <row r="6" spans="1:12" ht="12.75" customHeight="1" x14ac:dyDescent="0.2">
      <c r="A6" s="93"/>
      <c r="B6" s="182"/>
      <c r="C6" s="93"/>
      <c r="D6" s="183"/>
      <c r="E6" s="93"/>
      <c r="F6" s="93"/>
      <c r="G6" s="93"/>
      <c r="H6" s="93"/>
      <c r="I6" s="93"/>
      <c r="J6" s="93"/>
      <c r="K6" s="93"/>
      <c r="L6" s="93"/>
    </row>
    <row r="7" spans="1:12" ht="12.75" customHeight="1" x14ac:dyDescent="0.2">
      <c r="A7" s="93"/>
      <c r="B7" s="182"/>
      <c r="C7" s="93"/>
      <c r="D7" s="183"/>
      <c r="E7" s="93"/>
      <c r="F7" s="93"/>
      <c r="G7" s="93"/>
      <c r="H7" s="93"/>
      <c r="I7" s="93"/>
      <c r="J7" s="93"/>
      <c r="K7" s="93"/>
      <c r="L7" s="93"/>
    </row>
    <row r="8" spans="1:12" ht="12.75" customHeight="1" x14ac:dyDescent="0.2">
      <c r="A8" s="93" t="s">
        <v>330</v>
      </c>
      <c r="B8" s="177" t="e">
        <f>B4/#REF!-1</f>
        <v>#REF!</v>
      </c>
      <c r="C8" s="93"/>
      <c r="D8" s="183" t="s">
        <v>331</v>
      </c>
      <c r="E8" s="93"/>
      <c r="F8" s="93"/>
      <c r="G8" s="93"/>
      <c r="H8" s="93"/>
      <c r="I8" s="93"/>
      <c r="J8" s="93"/>
      <c r="K8" s="93"/>
      <c r="L8" s="93"/>
    </row>
    <row r="9" spans="1:12" ht="12.75" customHeight="1" x14ac:dyDescent="0.2">
      <c r="A9" s="148"/>
      <c r="B9" s="148"/>
      <c r="C9" s="148"/>
      <c r="D9" s="181" t="s">
        <v>332</v>
      </c>
      <c r="E9" s="148"/>
      <c r="F9" s="93"/>
      <c r="G9" s="93"/>
      <c r="H9" s="93"/>
      <c r="I9" s="93"/>
      <c r="J9" s="93"/>
      <c r="K9" s="93"/>
      <c r="L9" s="93"/>
    </row>
    <row r="10" spans="1:12" ht="12.75" customHeight="1" x14ac:dyDescent="0.2">
      <c r="A10" s="93" t="s">
        <v>333</v>
      </c>
      <c r="B10" s="180">
        <f>'Detail Data'!E11</f>
        <v>2.6497496035457244</v>
      </c>
      <c r="C10" s="93"/>
      <c r="D10" s="183" t="s">
        <v>334</v>
      </c>
      <c r="E10" s="93"/>
      <c r="F10" s="93"/>
      <c r="G10" s="93"/>
      <c r="H10" s="93"/>
      <c r="I10" s="93"/>
      <c r="J10" s="93"/>
      <c r="K10" s="93"/>
      <c r="L10" s="93"/>
    </row>
    <row r="11" spans="1:12" ht="12.75" customHeight="1" x14ac:dyDescent="0.2">
      <c r="A11" s="93" t="s">
        <v>335</v>
      </c>
      <c r="B11" s="127">
        <f>'Detail Data'!E3</f>
        <v>32582.646000000001</v>
      </c>
      <c r="C11" s="93"/>
      <c r="D11" s="183" t="s">
        <v>336</v>
      </c>
      <c r="E11" s="93"/>
      <c r="F11" s="93"/>
      <c r="G11" s="93"/>
      <c r="H11" s="93"/>
      <c r="I11" s="93"/>
      <c r="J11" s="93"/>
      <c r="K11" s="93"/>
      <c r="L11" s="93"/>
    </row>
    <row r="12" spans="1:12" ht="12.75" customHeight="1" x14ac:dyDescent="0.2">
      <c r="A12" s="93" t="s">
        <v>337</v>
      </c>
      <c r="B12" s="127">
        <f>'Detail Data'!G5*'Detail Data'!E11</f>
        <v>34266.296898092951</v>
      </c>
      <c r="C12" s="93"/>
      <c r="D12" s="183" t="s">
        <v>338</v>
      </c>
      <c r="E12" s="93"/>
      <c r="F12" s="93"/>
      <c r="G12" s="93"/>
      <c r="H12" s="93"/>
      <c r="I12" s="93"/>
      <c r="J12" s="93"/>
      <c r="K12" s="93"/>
      <c r="L12" s="93"/>
    </row>
    <row r="13" spans="1:12" ht="12.75" customHeight="1" x14ac:dyDescent="0.2">
      <c r="A13" s="93" t="s">
        <v>240</v>
      </c>
      <c r="B13" s="184">
        <f>'Detail Data'!E9</f>
        <v>203.4</v>
      </c>
      <c r="C13" s="93"/>
      <c r="D13" s="181" t="s">
        <v>339</v>
      </c>
      <c r="E13" s="93"/>
      <c r="F13" s="93"/>
      <c r="G13" s="93"/>
      <c r="H13" s="93"/>
      <c r="I13" s="93"/>
      <c r="J13" s="93"/>
      <c r="K13" s="93"/>
      <c r="L13" s="93"/>
    </row>
    <row r="14" spans="1:12" ht="12.75" customHeight="1" x14ac:dyDescent="0.2">
      <c r="A14" s="93" t="s">
        <v>340</v>
      </c>
      <c r="B14" s="182">
        <f>B11/B13</f>
        <v>160.19</v>
      </c>
      <c r="C14" s="93"/>
      <c r="D14" s="183" t="s">
        <v>341</v>
      </c>
      <c r="E14" s="93"/>
      <c r="F14" s="93"/>
      <c r="G14" s="93"/>
      <c r="H14" s="93"/>
      <c r="I14" s="93"/>
      <c r="J14" s="93"/>
      <c r="K14" s="93"/>
      <c r="L14" s="93"/>
    </row>
    <row r="15" spans="1:12" ht="12.75" customHeight="1" x14ac:dyDescent="0.2">
      <c r="A15" s="93" t="s">
        <v>330</v>
      </c>
      <c r="B15" s="177" t="e">
        <f>B14/#REF!-1</f>
        <v>#REF!</v>
      </c>
      <c r="C15" s="93"/>
      <c r="D15" s="183" t="s">
        <v>342</v>
      </c>
      <c r="E15" s="93"/>
      <c r="F15" s="93"/>
      <c r="G15" s="93"/>
      <c r="H15" s="93"/>
      <c r="I15" s="93"/>
      <c r="J15" s="93"/>
      <c r="K15" s="93"/>
      <c r="L15" s="93"/>
    </row>
    <row r="16" spans="1:12" ht="12.75" customHeight="1" x14ac:dyDescent="0.2">
      <c r="A16" s="93"/>
      <c r="B16" s="93"/>
      <c r="C16" s="93"/>
      <c r="D16" s="183"/>
      <c r="E16" s="93"/>
      <c r="F16" s="93"/>
      <c r="G16" s="93"/>
      <c r="H16" s="93"/>
      <c r="I16" s="93"/>
      <c r="J16" s="93"/>
      <c r="K16" s="93"/>
      <c r="L16" s="93"/>
    </row>
    <row r="17" spans="1:12" ht="15" customHeight="1" x14ac:dyDescent="0.2">
      <c r="A17" s="93"/>
      <c r="B17" s="93"/>
      <c r="C17" s="93"/>
      <c r="D17" s="185" t="s">
        <v>343</v>
      </c>
      <c r="E17" s="93"/>
      <c r="F17" s="93"/>
      <c r="G17" s="93"/>
      <c r="H17" s="93"/>
      <c r="I17" s="93"/>
      <c r="J17" s="93"/>
      <c r="K17" s="93"/>
      <c r="L17" s="93"/>
    </row>
    <row r="18" spans="1:12" ht="12.75" customHeight="1" x14ac:dyDescent="0.2">
      <c r="A18" s="93"/>
      <c r="B18" s="93"/>
      <c r="C18" s="93"/>
      <c r="D18" s="186" t="s">
        <v>344</v>
      </c>
      <c r="E18" s="93"/>
      <c r="F18" s="93"/>
      <c r="G18" s="93"/>
      <c r="H18" s="93"/>
      <c r="I18" s="93"/>
      <c r="J18" s="93"/>
      <c r="K18" s="93"/>
      <c r="L18" s="93"/>
    </row>
    <row r="19" spans="1:12" ht="12.75" customHeight="1" x14ac:dyDescent="0.2">
      <c r="A19" s="93" t="e">
        <f>'Detail Data'!#REF!-'Detail Data'!#REF!</f>
        <v>#REF!</v>
      </c>
      <c r="B19" s="93"/>
      <c r="C19" s="93"/>
      <c r="D19" s="93" t="s">
        <v>345</v>
      </c>
      <c r="E19" s="93"/>
      <c r="F19" s="93"/>
      <c r="G19" s="93"/>
      <c r="H19" s="93"/>
      <c r="I19" s="93"/>
      <c r="J19" s="93"/>
      <c r="K19" s="93"/>
      <c r="L19" s="93"/>
    </row>
    <row r="20" spans="1:12" ht="12.75" customHeight="1" x14ac:dyDescent="0.2">
      <c r="A20" s="93" t="e">
        <f>'Detail Data'!#REF!-'Detail Data'!#REF!</f>
        <v>#REF!</v>
      </c>
      <c r="B20" s="93"/>
      <c r="C20" s="93"/>
      <c r="D20" s="93" t="s">
        <v>346</v>
      </c>
      <c r="E20" s="93"/>
      <c r="F20" s="93"/>
      <c r="G20" s="93"/>
      <c r="H20" s="93"/>
      <c r="I20" s="93"/>
      <c r="J20" s="93"/>
      <c r="K20" s="93"/>
      <c r="L20" s="93"/>
    </row>
    <row r="21" spans="1:12" ht="12.75" customHeight="1" x14ac:dyDescent="0.2">
      <c r="A21" s="93"/>
      <c r="B21" s="93"/>
      <c r="C21" s="93"/>
      <c r="D21" s="93" t="s">
        <v>347</v>
      </c>
      <c r="E21" s="93"/>
      <c r="F21" s="93"/>
      <c r="G21" s="93"/>
      <c r="H21" s="93"/>
      <c r="I21" s="93"/>
      <c r="J21" s="93"/>
      <c r="K21" s="93"/>
      <c r="L21" s="93"/>
    </row>
    <row r="22" spans="1:12" ht="12.75" customHeight="1" x14ac:dyDescent="0.2">
      <c r="A22" s="93" t="s">
        <v>348</v>
      </c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</row>
    <row r="23" spans="1:12" ht="12.75" customHeight="1" x14ac:dyDescent="0.2">
      <c r="A23" s="93" t="s">
        <v>349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</row>
    <row r="24" spans="1:12" ht="12.75" customHeight="1" x14ac:dyDescent="0.2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</row>
    <row r="25" spans="1:12" ht="12.75" customHeight="1" x14ac:dyDescent="0.2">
      <c r="A25" s="93"/>
      <c r="B25" s="93"/>
      <c r="C25" s="93"/>
      <c r="D25" s="187" t="s">
        <v>350</v>
      </c>
      <c r="E25" s="188"/>
      <c r="F25" s="93"/>
      <c r="G25" s="93"/>
      <c r="H25" s="93"/>
      <c r="I25" s="93"/>
      <c r="J25" s="93"/>
      <c r="K25" s="93"/>
      <c r="L25" s="93"/>
    </row>
    <row r="26" spans="1:12" ht="12.75" customHeight="1" x14ac:dyDescent="0.2">
      <c r="A26" s="93"/>
      <c r="B26" s="93"/>
      <c r="C26" s="93"/>
      <c r="D26" s="93"/>
      <c r="E26" s="188"/>
      <c r="F26" s="93"/>
      <c r="G26" s="93"/>
      <c r="H26" s="93"/>
      <c r="I26" s="93"/>
      <c r="J26" s="93"/>
      <c r="K26" s="93"/>
      <c r="L26" s="93"/>
    </row>
    <row r="27" spans="1:12" ht="12.75" customHeight="1" x14ac:dyDescent="0.2">
      <c r="A27" s="93"/>
      <c r="B27" s="93"/>
      <c r="C27" s="93"/>
      <c r="D27" s="93"/>
      <c r="E27" s="188"/>
      <c r="F27" s="93"/>
      <c r="G27" s="93"/>
      <c r="H27" s="93"/>
      <c r="I27" s="93"/>
      <c r="J27" s="93"/>
      <c r="K27" s="93"/>
      <c r="L27" s="93"/>
    </row>
    <row r="28" spans="1:12" ht="12.75" customHeight="1" x14ac:dyDescent="0.2">
      <c r="A28" s="93"/>
      <c r="B28" s="93"/>
      <c r="C28" s="93"/>
      <c r="D28" s="187" t="s">
        <v>351</v>
      </c>
      <c r="E28" s="188"/>
      <c r="F28" s="93"/>
      <c r="G28" s="187" t="s">
        <v>352</v>
      </c>
      <c r="H28" s="93"/>
      <c r="I28" s="93"/>
      <c r="J28" s="93"/>
      <c r="K28" s="93"/>
      <c r="L28" s="93"/>
    </row>
    <row r="29" spans="1:12" ht="12.75" customHeight="1" x14ac:dyDescent="0.2">
      <c r="A29" s="93"/>
      <c r="B29" s="93"/>
      <c r="C29" s="93"/>
      <c r="D29" s="93"/>
      <c r="E29" s="188"/>
      <c r="F29" s="93"/>
      <c r="G29" s="187" t="s">
        <v>353</v>
      </c>
      <c r="H29" s="93"/>
      <c r="I29" s="93"/>
      <c r="J29" s="93"/>
      <c r="K29" s="93"/>
      <c r="L29" s="93"/>
    </row>
    <row r="30" spans="1:12" ht="12.75" customHeight="1" x14ac:dyDescent="0.2">
      <c r="A30" s="93"/>
      <c r="B30" s="93"/>
      <c r="C30" s="93"/>
      <c r="D30" s="93"/>
      <c r="E30" s="188"/>
      <c r="F30" s="93"/>
      <c r="G30" s="187" t="s">
        <v>354</v>
      </c>
      <c r="H30" s="93"/>
      <c r="I30" s="93"/>
      <c r="J30" s="93"/>
      <c r="K30" s="93"/>
      <c r="L30" s="93"/>
    </row>
    <row r="31" spans="1:12" ht="12.75" customHeight="1" x14ac:dyDescent="0.2">
      <c r="A31" s="93"/>
      <c r="B31" s="93"/>
      <c r="C31" s="93"/>
      <c r="D31" s="93"/>
      <c r="E31" s="188"/>
      <c r="F31" s="93"/>
      <c r="G31" s="187"/>
      <c r="H31" s="93"/>
      <c r="I31" s="93"/>
      <c r="J31" s="93"/>
      <c r="K31" s="93"/>
      <c r="L31" s="93"/>
    </row>
    <row r="32" spans="1:12" ht="12.75" customHeight="1" x14ac:dyDescent="0.2">
      <c r="A32" s="93"/>
      <c r="B32" s="93"/>
      <c r="C32" s="93"/>
      <c r="D32" s="93"/>
      <c r="E32" s="188"/>
      <c r="F32" s="93"/>
      <c r="G32" s="187"/>
      <c r="H32" s="93"/>
      <c r="I32" s="93"/>
      <c r="J32" s="93"/>
      <c r="K32" s="93"/>
      <c r="L32" s="93"/>
    </row>
    <row r="33" spans="1:12" ht="12.75" customHeight="1" x14ac:dyDescent="0.2">
      <c r="A33" s="93"/>
      <c r="B33" s="93"/>
      <c r="C33" s="93"/>
      <c r="D33" s="93"/>
      <c r="E33" s="188"/>
      <c r="F33" s="93"/>
      <c r="G33" s="187"/>
      <c r="H33" s="93"/>
      <c r="I33" s="93"/>
      <c r="J33" s="93"/>
      <c r="K33" s="93"/>
      <c r="L33" s="93"/>
    </row>
    <row r="34" spans="1:12" ht="12.75" customHeight="1" x14ac:dyDescent="0.2">
      <c r="A34" s="93"/>
      <c r="B34" s="93"/>
      <c r="C34" s="93"/>
      <c r="D34" s="93"/>
      <c r="E34" s="188"/>
      <c r="F34" s="93"/>
      <c r="G34" s="187"/>
      <c r="H34" s="93"/>
      <c r="I34" s="93"/>
      <c r="J34" s="93"/>
      <c r="K34" s="93"/>
      <c r="L34" s="93"/>
    </row>
    <row r="35" spans="1:12" ht="12.75" customHeight="1" x14ac:dyDescent="0.2">
      <c r="A35" s="93"/>
      <c r="B35" s="93"/>
      <c r="C35" s="93"/>
      <c r="D35" s="93"/>
      <c r="E35" s="188"/>
      <c r="F35" s="93"/>
      <c r="G35" s="187"/>
      <c r="H35" s="93"/>
      <c r="I35" s="93"/>
      <c r="J35" s="93"/>
      <c r="K35" s="93"/>
      <c r="L35" s="93"/>
    </row>
    <row r="36" spans="1:12" ht="12.75" customHeight="1" x14ac:dyDescent="0.2">
      <c r="A36" s="93"/>
      <c r="B36" s="93"/>
      <c r="C36" s="93"/>
      <c r="D36" s="93" t="s">
        <v>355</v>
      </c>
      <c r="E36" s="188"/>
      <c r="F36" s="186" t="s">
        <v>356</v>
      </c>
      <c r="G36" s="93"/>
      <c r="H36" s="93"/>
      <c r="I36" s="93"/>
      <c r="J36" s="93"/>
      <c r="K36" s="93"/>
      <c r="L36" s="93"/>
    </row>
    <row r="37" spans="1:12" ht="12.75" customHeight="1" x14ac:dyDescent="0.2">
      <c r="A37" s="93"/>
      <c r="B37" s="93"/>
      <c r="C37" s="93"/>
      <c r="D37" s="93" t="s">
        <v>357</v>
      </c>
      <c r="E37" s="188"/>
      <c r="F37" s="186" t="s">
        <v>358</v>
      </c>
      <c r="G37" s="93"/>
      <c r="H37" s="93"/>
      <c r="I37" s="93"/>
      <c r="J37" s="93"/>
      <c r="K37" s="93"/>
      <c r="L37" s="93"/>
    </row>
    <row r="38" spans="1:12" ht="12.75" customHeight="1" x14ac:dyDescent="0.2">
      <c r="A38" s="93"/>
      <c r="B38" s="93"/>
      <c r="C38" s="93"/>
      <c r="D38" s="93" t="s">
        <v>359</v>
      </c>
      <c r="E38" s="93"/>
      <c r="F38" s="186" t="s">
        <v>360</v>
      </c>
      <c r="G38" s="93"/>
      <c r="H38" s="93"/>
      <c r="I38" s="93"/>
      <c r="J38" s="93"/>
      <c r="K38" s="93"/>
      <c r="L38" s="93"/>
    </row>
    <row r="39" spans="1:12" ht="12.75" customHeight="1" x14ac:dyDescent="0.2">
      <c r="A39" s="93"/>
      <c r="B39" s="93"/>
      <c r="C39" s="93"/>
      <c r="D39" s="93"/>
      <c r="E39" s="188"/>
      <c r="F39" s="93"/>
      <c r="G39" s="187"/>
      <c r="H39" s="93"/>
      <c r="I39" s="93"/>
      <c r="J39" s="93"/>
      <c r="K39" s="93"/>
      <c r="L39" s="93"/>
    </row>
    <row r="40" spans="1:12" ht="18" customHeight="1" x14ac:dyDescent="0.2">
      <c r="A40" s="93"/>
      <c r="B40" s="93"/>
      <c r="C40" s="93"/>
      <c r="D40" s="189" t="s">
        <v>361</v>
      </c>
      <c r="E40" s="188"/>
      <c r="F40" s="93"/>
      <c r="G40" s="187"/>
      <c r="H40" s="93"/>
      <c r="I40" s="93"/>
      <c r="J40" s="93"/>
      <c r="K40" s="93"/>
      <c r="L40" s="93"/>
    </row>
    <row r="41" spans="1:12" ht="12.75" customHeight="1" x14ac:dyDescent="0.2">
      <c r="A41" s="93"/>
      <c r="B41" s="93"/>
      <c r="C41" s="93"/>
      <c r="D41" s="93"/>
      <c r="E41" s="188"/>
      <c r="F41" s="93"/>
      <c r="G41" s="93"/>
      <c r="H41" s="93"/>
      <c r="I41" s="93"/>
      <c r="J41" s="93"/>
      <c r="K41" s="93"/>
      <c r="L41" s="93"/>
    </row>
    <row r="42" spans="1:12" ht="12.75" customHeight="1" x14ac:dyDescent="0.2">
      <c r="A42" s="93"/>
      <c r="B42" s="93"/>
      <c r="C42" s="93"/>
      <c r="D42" s="93"/>
      <c r="E42" s="188"/>
      <c r="F42" s="93"/>
      <c r="G42" s="93"/>
      <c r="H42" s="93"/>
      <c r="I42" s="93"/>
      <c r="J42" s="93"/>
      <c r="K42" s="93"/>
      <c r="L42" s="93"/>
    </row>
    <row r="43" spans="1:12" ht="12.75" customHeight="1" x14ac:dyDescent="0.2">
      <c r="A43" s="93"/>
      <c r="B43" s="93"/>
      <c r="C43" s="93"/>
      <c r="D43" s="187" t="s">
        <v>362</v>
      </c>
      <c r="E43" s="188"/>
      <c r="F43" s="93"/>
      <c r="G43" s="187" t="s">
        <v>363</v>
      </c>
      <c r="H43" s="93"/>
      <c r="I43" s="93"/>
      <c r="J43" s="93"/>
      <c r="K43" s="93"/>
      <c r="L43" s="93"/>
    </row>
    <row r="44" spans="1:12" ht="12.75" customHeight="1" x14ac:dyDescent="0.2">
      <c r="A44" s="93"/>
      <c r="B44" s="93"/>
      <c r="C44" s="93"/>
      <c r="D44" s="93"/>
      <c r="E44" s="188"/>
      <c r="F44" s="93"/>
      <c r="G44" s="187" t="s">
        <v>364</v>
      </c>
      <c r="H44" s="93"/>
      <c r="I44" s="93"/>
      <c r="J44" s="93"/>
      <c r="K44" s="93"/>
      <c r="L44" s="93"/>
    </row>
    <row r="45" spans="1:12" ht="12.75" customHeight="1" x14ac:dyDescent="0.2">
      <c r="A45" s="93"/>
      <c r="B45" s="93"/>
      <c r="C45" s="93"/>
      <c r="D45" s="93"/>
      <c r="E45" s="188"/>
      <c r="F45" s="93"/>
      <c r="G45" s="187" t="s">
        <v>365</v>
      </c>
      <c r="H45" s="93"/>
      <c r="I45" s="93"/>
      <c r="J45" s="93"/>
      <c r="K45" s="93"/>
      <c r="L45" s="93"/>
    </row>
    <row r="46" spans="1:12" ht="12.75" customHeight="1" x14ac:dyDescent="0.2">
      <c r="A46" s="93"/>
      <c r="B46" s="93"/>
      <c r="C46" s="93"/>
      <c r="D46" s="93"/>
      <c r="E46" s="188"/>
      <c r="F46" s="93"/>
      <c r="G46" s="187" t="s">
        <v>366</v>
      </c>
      <c r="H46" s="93"/>
      <c r="I46" s="93"/>
      <c r="J46" s="93"/>
      <c r="K46" s="93"/>
      <c r="L46" s="93"/>
    </row>
    <row r="47" spans="1:12" ht="12.75" customHeight="1" x14ac:dyDescent="0.2">
      <c r="A47" s="93"/>
      <c r="B47" s="93"/>
      <c r="C47" s="93"/>
      <c r="D47" s="93"/>
      <c r="E47" s="188"/>
      <c r="F47" s="93"/>
      <c r="G47" s="187" t="s">
        <v>367</v>
      </c>
      <c r="H47" s="93"/>
      <c r="I47" s="93"/>
      <c r="J47" s="93"/>
      <c r="K47" s="93"/>
      <c r="L47" s="93"/>
    </row>
    <row r="48" spans="1:12" ht="12.75" customHeight="1" x14ac:dyDescent="0.2">
      <c r="A48" s="93"/>
      <c r="B48" s="93"/>
      <c r="C48" s="93"/>
      <c r="D48" s="187" t="s">
        <v>368</v>
      </c>
      <c r="E48" s="188"/>
      <c r="F48" s="93"/>
      <c r="G48" s="187" t="s">
        <v>369</v>
      </c>
      <c r="H48" s="93"/>
      <c r="I48" s="93"/>
      <c r="J48" s="93"/>
      <c r="K48" s="93"/>
      <c r="L48" s="93"/>
    </row>
    <row r="49" spans="1:12" ht="12.75" customHeight="1" x14ac:dyDescent="0.2">
      <c r="A49" s="93"/>
      <c r="B49" s="190"/>
      <c r="C49" s="190"/>
      <c r="D49" s="93"/>
      <c r="E49" s="188"/>
      <c r="F49" s="93"/>
      <c r="G49" s="187" t="s">
        <v>370</v>
      </c>
      <c r="H49" s="93"/>
      <c r="I49" s="93"/>
      <c r="J49" s="93"/>
      <c r="K49" s="93"/>
      <c r="L49" s="93"/>
    </row>
    <row r="50" spans="1:12" ht="12.75" customHeight="1" x14ac:dyDescent="0.2">
      <c r="A50" s="93"/>
      <c r="B50" s="190"/>
      <c r="C50" s="190"/>
      <c r="D50" s="93"/>
      <c r="E50" s="188"/>
      <c r="F50" s="93"/>
      <c r="G50" s="187"/>
      <c r="H50" s="93"/>
      <c r="I50" s="93"/>
      <c r="J50" s="93"/>
      <c r="K50" s="93"/>
      <c r="L50" s="93"/>
    </row>
    <row r="51" spans="1:12" ht="12.75" customHeight="1" x14ac:dyDescent="0.2">
      <c r="A51" s="93"/>
      <c r="B51" s="190"/>
      <c r="C51" s="190"/>
      <c r="D51" s="93"/>
      <c r="E51" s="188"/>
      <c r="F51" s="93"/>
      <c r="G51" s="187" t="s">
        <v>371</v>
      </c>
      <c r="H51" s="93"/>
      <c r="I51" s="93"/>
      <c r="J51" s="93"/>
      <c r="K51" s="93"/>
      <c r="L51" s="93"/>
    </row>
    <row r="52" spans="1:12" ht="12.75" customHeight="1" x14ac:dyDescent="0.2">
      <c r="A52" s="93"/>
      <c r="B52" s="190"/>
      <c r="C52" s="190"/>
      <c r="D52" s="93"/>
      <c r="E52" s="188"/>
      <c r="F52" s="93"/>
      <c r="G52" s="187" t="s">
        <v>372</v>
      </c>
      <c r="H52" s="93"/>
      <c r="I52" s="93"/>
      <c r="J52" s="93"/>
      <c r="K52" s="93"/>
      <c r="L52" s="93"/>
    </row>
    <row r="53" spans="1:12" ht="12.75" customHeight="1" x14ac:dyDescent="0.2">
      <c r="A53" s="93"/>
      <c r="B53" s="93"/>
      <c r="C53" s="93"/>
      <c r="D53" s="93"/>
      <c r="E53" s="188"/>
      <c r="F53" s="93"/>
      <c r="G53" s="187" t="s">
        <v>373</v>
      </c>
      <c r="H53" s="93"/>
      <c r="I53" s="93"/>
      <c r="J53" s="93"/>
      <c r="K53" s="93"/>
      <c r="L53" s="93"/>
    </row>
    <row r="54" spans="1:12" ht="12.75" customHeight="1" x14ac:dyDescent="0.2">
      <c r="A54" s="93"/>
      <c r="B54" s="93"/>
      <c r="C54" s="93"/>
      <c r="D54" s="93"/>
      <c r="E54" s="188"/>
      <c r="F54" s="93"/>
      <c r="G54" s="93"/>
      <c r="H54" s="93"/>
      <c r="I54" s="93"/>
      <c r="J54" s="93"/>
      <c r="K54" s="93"/>
      <c r="L54" s="93"/>
    </row>
    <row r="55" spans="1:12" ht="12.75" customHeight="1" x14ac:dyDescent="0.2">
      <c r="A55" s="93"/>
      <c r="B55" s="93"/>
      <c r="C55" s="93"/>
      <c r="D55" s="187" t="s">
        <v>374</v>
      </c>
      <c r="E55" s="188"/>
      <c r="F55" s="93"/>
      <c r="G55" s="187" t="s">
        <v>375</v>
      </c>
      <c r="H55" s="93"/>
      <c r="I55" s="93"/>
      <c r="J55" s="93"/>
      <c r="K55" s="93"/>
      <c r="L55" s="93"/>
    </row>
    <row r="56" spans="1:12" ht="12.75" customHeight="1" x14ac:dyDescent="0.2">
      <c r="A56" s="93"/>
      <c r="B56" s="93"/>
      <c r="C56" s="93"/>
      <c r="D56" s="93"/>
      <c r="E56" s="188"/>
      <c r="F56" s="93"/>
      <c r="G56" s="93"/>
      <c r="H56" s="93"/>
      <c r="I56" s="93"/>
      <c r="J56" s="93"/>
      <c r="K56" s="93"/>
      <c r="L56" s="93"/>
    </row>
    <row r="57" spans="1:12" ht="12.75" customHeight="1" x14ac:dyDescent="0.2">
      <c r="A57" s="93"/>
      <c r="B57" s="93"/>
      <c r="C57" s="93"/>
      <c r="D57" s="187" t="s">
        <v>376</v>
      </c>
      <c r="E57" s="188"/>
      <c r="F57" s="93"/>
      <c r="G57" s="187" t="s">
        <v>377</v>
      </c>
      <c r="H57" s="93"/>
      <c r="I57" s="93"/>
      <c r="J57" s="93"/>
      <c r="K57" s="93"/>
      <c r="L57" s="93"/>
    </row>
    <row r="58" spans="1:12" ht="12.75" customHeight="1" x14ac:dyDescent="0.2">
      <c r="A58" s="93"/>
      <c r="B58" s="93"/>
      <c r="C58" s="93"/>
      <c r="D58" s="93"/>
      <c r="E58" s="188"/>
      <c r="F58" s="93"/>
      <c r="G58" s="93"/>
      <c r="H58" s="93"/>
      <c r="I58" s="93"/>
      <c r="J58" s="93"/>
      <c r="K58" s="93"/>
      <c r="L58" s="93"/>
    </row>
    <row r="59" spans="1:12" ht="12.75" customHeight="1" x14ac:dyDescent="0.2">
      <c r="A59" s="93"/>
      <c r="B59" s="93"/>
      <c r="C59" s="93"/>
      <c r="D59" s="187" t="s">
        <v>202</v>
      </c>
      <c r="E59" s="188"/>
      <c r="F59" s="93"/>
      <c r="G59" s="187" t="s">
        <v>378</v>
      </c>
      <c r="H59" s="93"/>
      <c r="I59" s="93"/>
      <c r="J59" s="93"/>
      <c r="K59" s="93"/>
      <c r="L59" s="93"/>
    </row>
    <row r="60" spans="1:12" ht="12.75" customHeight="1" x14ac:dyDescent="0.2">
      <c r="A60" s="93"/>
      <c r="B60" s="93"/>
      <c r="C60" s="93"/>
      <c r="D60" s="187" t="s">
        <v>379</v>
      </c>
      <c r="E60" s="188"/>
      <c r="F60" s="93"/>
      <c r="G60" s="187" t="s">
        <v>380</v>
      </c>
      <c r="H60" s="93"/>
      <c r="I60" s="93"/>
      <c r="J60" s="93"/>
      <c r="K60" s="93"/>
      <c r="L60" s="93"/>
    </row>
    <row r="61" spans="1:12" ht="12.75" customHeight="1" x14ac:dyDescent="0.2">
      <c r="A61" s="93"/>
      <c r="B61" s="93"/>
      <c r="C61" s="93"/>
      <c r="D61" s="93"/>
      <c r="E61" s="188"/>
      <c r="F61" s="93"/>
      <c r="G61" s="187" t="s">
        <v>381</v>
      </c>
      <c r="H61" s="93"/>
      <c r="I61" s="93"/>
      <c r="J61" s="93"/>
      <c r="K61" s="93"/>
      <c r="L61" s="93"/>
    </row>
    <row r="62" spans="1:12" ht="12.75" customHeight="1" x14ac:dyDescent="0.2">
      <c r="A62" s="93"/>
      <c r="B62" s="93"/>
      <c r="C62" s="93"/>
      <c r="D62" s="93"/>
      <c r="E62" s="188"/>
      <c r="F62" s="93"/>
      <c r="G62" s="187" t="s">
        <v>382</v>
      </c>
      <c r="H62" s="93"/>
      <c r="I62" s="93"/>
      <c r="J62" s="93"/>
      <c r="K62" s="93"/>
      <c r="L62" s="93"/>
    </row>
    <row r="63" spans="1:12" ht="12.75" customHeight="1" x14ac:dyDescent="0.2">
      <c r="A63" s="93"/>
      <c r="B63" s="93"/>
      <c r="C63" s="93"/>
      <c r="D63" s="93"/>
      <c r="E63" s="188"/>
      <c r="F63" s="93"/>
      <c r="G63" s="187" t="s">
        <v>383</v>
      </c>
      <c r="H63" s="93"/>
      <c r="I63" s="93"/>
      <c r="J63" s="93"/>
      <c r="K63" s="93"/>
      <c r="L63" s="93"/>
    </row>
    <row r="64" spans="1:12" ht="12.75" customHeight="1" x14ac:dyDescent="0.2">
      <c r="A64" s="93"/>
      <c r="B64" s="93"/>
      <c r="C64" s="93"/>
      <c r="D64" s="93"/>
      <c r="E64" s="188"/>
      <c r="F64" s="93"/>
      <c r="G64" s="187" t="s">
        <v>384</v>
      </c>
      <c r="H64" s="93"/>
      <c r="I64" s="93"/>
      <c r="J64" s="93"/>
      <c r="K64" s="93"/>
      <c r="L64" s="93"/>
    </row>
    <row r="65" spans="1:12" ht="12.75" customHeight="1" x14ac:dyDescent="0.2">
      <c r="A65" s="93"/>
      <c r="B65" s="93"/>
      <c r="C65" s="93"/>
      <c r="D65" s="93"/>
      <c r="E65" s="188"/>
      <c r="F65" s="93"/>
      <c r="G65" s="187" t="s">
        <v>385</v>
      </c>
      <c r="H65" s="93"/>
      <c r="I65" s="93"/>
      <c r="J65" s="93"/>
      <c r="K65" s="93"/>
      <c r="L65" s="93"/>
    </row>
    <row r="66" spans="1:12" ht="12.75" customHeight="1" x14ac:dyDescent="0.2">
      <c r="A66" s="93"/>
      <c r="B66" s="93"/>
      <c r="C66" s="93"/>
      <c r="D66" s="93"/>
      <c r="E66" s="188"/>
      <c r="F66" s="93"/>
      <c r="G66" s="93"/>
      <c r="H66" s="93"/>
      <c r="I66" s="93"/>
      <c r="J66" s="93"/>
      <c r="K66" s="93"/>
      <c r="L66" s="93"/>
    </row>
    <row r="67" spans="1:12" ht="12.75" customHeight="1" x14ac:dyDescent="0.2">
      <c r="A67" s="93"/>
      <c r="B67" s="93"/>
      <c r="C67" s="93"/>
      <c r="D67" s="187" t="s">
        <v>386</v>
      </c>
      <c r="E67" s="188"/>
      <c r="F67" s="93"/>
      <c r="G67" s="187" t="s">
        <v>387</v>
      </c>
      <c r="H67" s="93"/>
      <c r="I67" s="93"/>
      <c r="J67" s="93"/>
      <c r="K67" s="93"/>
      <c r="L67" s="93"/>
    </row>
    <row r="68" spans="1:12" ht="12.75" customHeight="1" x14ac:dyDescent="0.2">
      <c r="A68" s="93"/>
      <c r="B68" s="93"/>
      <c r="C68" s="93"/>
      <c r="D68" s="93"/>
      <c r="E68" s="188"/>
      <c r="F68" s="93"/>
      <c r="G68" s="187" t="s">
        <v>388</v>
      </c>
      <c r="H68" s="93"/>
      <c r="I68" s="93"/>
      <c r="J68" s="93"/>
      <c r="K68" s="93"/>
      <c r="L68" s="93"/>
    </row>
    <row r="69" spans="1:12" ht="12.75" customHeight="1" x14ac:dyDescent="0.2">
      <c r="A69" s="93"/>
      <c r="B69" s="93"/>
      <c r="C69" s="93"/>
      <c r="D69" s="93"/>
      <c r="E69" s="188"/>
      <c r="F69" s="93"/>
      <c r="G69" s="187" t="s">
        <v>389</v>
      </c>
      <c r="H69" s="93"/>
      <c r="I69" s="93"/>
      <c r="J69" s="93"/>
      <c r="K69" s="93"/>
      <c r="L69" s="93"/>
    </row>
    <row r="70" spans="1:12" ht="12.75" customHeight="1" x14ac:dyDescent="0.2">
      <c r="A70" s="93"/>
      <c r="B70" s="93"/>
      <c r="C70" s="93"/>
      <c r="D70" s="93"/>
      <c r="E70" s="188"/>
      <c r="F70" s="93"/>
      <c r="G70" s="93"/>
      <c r="H70" s="93"/>
      <c r="I70" s="93"/>
      <c r="J70" s="93"/>
      <c r="K70" s="93"/>
      <c r="L70" s="93"/>
    </row>
    <row r="71" spans="1:12" ht="12.75" customHeight="1" x14ac:dyDescent="0.2">
      <c r="A71" s="93"/>
      <c r="B71" s="93"/>
      <c r="C71" s="93"/>
      <c r="D71" s="187" t="s">
        <v>390</v>
      </c>
      <c r="E71" s="188"/>
      <c r="F71" s="93"/>
      <c r="G71" s="187" t="s">
        <v>391</v>
      </c>
      <c r="H71" s="93"/>
      <c r="I71" s="93"/>
      <c r="J71" s="93"/>
      <c r="K71" s="93"/>
      <c r="L71" s="93"/>
    </row>
    <row r="72" spans="1:12" ht="12.75" customHeight="1" x14ac:dyDescent="0.2">
      <c r="A72" s="93"/>
      <c r="B72" s="93"/>
      <c r="C72" s="93"/>
      <c r="D72" s="187" t="s">
        <v>392</v>
      </c>
      <c r="E72" s="188"/>
      <c r="F72" s="93"/>
      <c r="G72" s="187" t="s">
        <v>393</v>
      </c>
      <c r="H72" s="93"/>
      <c r="I72" s="93"/>
      <c r="J72" s="93"/>
      <c r="K72" s="93"/>
      <c r="L72" s="93"/>
    </row>
    <row r="73" spans="1:12" ht="12.75" customHeight="1" x14ac:dyDescent="0.2">
      <c r="A73" s="93"/>
      <c r="B73" s="93"/>
      <c r="C73" s="93"/>
      <c r="D73" s="93"/>
      <c r="E73" s="188"/>
      <c r="F73" s="93"/>
      <c r="G73" s="93"/>
      <c r="H73" s="93"/>
      <c r="I73" s="93"/>
      <c r="J73" s="93"/>
      <c r="K73" s="93"/>
      <c r="L73" s="93"/>
    </row>
    <row r="74" spans="1:12" ht="12.75" customHeight="1" x14ac:dyDescent="0.2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3"/>
    </row>
    <row r="75" spans="1:12" ht="12.75" customHeight="1" x14ac:dyDescent="0.2">
      <c r="A75" s="93"/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3"/>
    </row>
    <row r="76" spans="1:12" ht="12.75" customHeight="1" x14ac:dyDescent="0.2">
      <c r="A76" s="93"/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spans="1:12" ht="12.75" customHeight="1" x14ac:dyDescent="0.2">
      <c r="A77" s="93"/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3"/>
    </row>
  </sheetData>
  <hyperlinks>
    <hyperlink ref="D1" r:id="rId1" location="cite_note-:0-1" xr:uid="{00000000-0004-0000-0200-000000000000}"/>
    <hyperlink ref="D18" r:id="rId2" xr:uid="{00000000-0004-0000-0200-000001000000}"/>
    <hyperlink ref="F36" r:id="rId3" xr:uid="{00000000-0004-0000-0200-000002000000}"/>
    <hyperlink ref="F37" r:id="rId4" xr:uid="{00000000-0004-0000-0200-000003000000}"/>
    <hyperlink ref="F38" r:id="rId5" xr:uid="{00000000-0004-0000-0200-000004000000}"/>
  </hyperlinks>
  <pageMargins left="0.7" right="0.7" top="0.75" bottom="0.75" header="0.511811023622047" footer="0.511811023622047"/>
  <pageSetup paperSize="9" orientation="portrait" horizontalDpi="300" verticalDpi="300"/>
  <drawing r:id="rId6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FrontPage</vt:lpstr>
      <vt:lpstr>Detail Data</vt:lpstr>
      <vt:lpstr>DCF 1-Pager</vt:lpstr>
      <vt:lpstr>WACC calculation</vt:lpstr>
      <vt:lpstr>Relative Valuation</vt:lpstr>
      <vt:lpstr>Key Defns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2026-10-07T22:14:23Z</dcterms:modified>
  <cp:category/>
  <cp:contentStatus/>
</cp:coreProperties>
</file>