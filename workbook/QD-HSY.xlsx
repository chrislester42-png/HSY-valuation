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ink/ink1.xml" ContentType="application/inkml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chrislester/Documents/GitHub/HSY-valuation/workbook/"/>
    </mc:Choice>
  </mc:AlternateContent>
  <xr:revisionPtr revIDLastSave="0" documentId="13_ncr:1_{DBEB0C49-7238-6143-BBD4-31006369D13E}" xr6:coauthVersionLast="47" xr6:coauthVersionMax="47" xr10:uidLastSave="{00000000-0000-0000-0000-000000000000}"/>
  <bookViews>
    <workbookView xWindow="0" yWindow="660" windowWidth="28800" windowHeight="15740" tabRatio="500" activeTab="1" xr2:uid="{00000000-000D-0000-FFFF-FFFF00000000}"/>
  </bookViews>
  <sheets>
    <sheet name="FrontPage" sheetId="1" r:id="rId1"/>
    <sheet name="Detail Data" sheetId="2" r:id="rId2"/>
    <sheet name="DCF 1-Pager" sheetId="5" r:id="rId3"/>
    <sheet name="Relative Valuation" sheetId="7" r:id="rId4"/>
    <sheet name="WACC calculation" sheetId="6" r:id="rId5"/>
  </sheets>
  <definedNames>
    <definedName name="CIQWBGuid" localSheetId="2" hidden="1">"DCF_complete.xlsx"</definedName>
    <definedName name="CIQWBGuid" hidden="1">"a611639b-bab1-425e-aaa5-008c326fdfdb"</definedName>
    <definedName name="COMPANY_NAME" localSheetId="0">FrontPage!$A$1:$M$40</definedName>
    <definedName name="DETAIL">'Detail Data'!$A$1:$G$40</definedName>
    <definedName name="FrontPage">FrontPage!$A$1:$G$40</definedName>
    <definedName name="FUNDAMENTALS">FrontPage!$H$2:$M$40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2" hidden="1">43549.6880671296</definedName>
    <definedName name="IQ_NAMES_REVISION_DATE_" hidden="1">43588.5561574074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LNK841c85bef3244d5c8fb6b3f84988d79e" localSheetId="2" hidden="1">#REF!</definedName>
    <definedName name="MLNK841c85bef3244d5c8fb6b3f84988d79e" hidden="1">#REF!</definedName>
    <definedName name="MLNKa7775792bf444a4785f8ed5c82461a24" localSheetId="2" hidden="1">#REF!</definedName>
    <definedName name="MLNKa7775792bf444a4785f8ed5c82461a24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9" i="2" l="1"/>
  <c r="Q7" i="5"/>
  <c r="Q6" i="5"/>
  <c r="Q5" i="5"/>
  <c r="B94" i="5"/>
  <c r="C66" i="5"/>
  <c r="C61" i="5"/>
  <c r="C69" i="5" s="1"/>
  <c r="C74" i="5" s="1"/>
  <c r="D74" i="5" s="1"/>
  <c r="D28" i="5"/>
  <c r="F24" i="5"/>
  <c r="G24" i="5"/>
  <c r="E24" i="5"/>
  <c r="D56" i="2"/>
  <c r="E38" i="2"/>
  <c r="E28" i="5" s="1"/>
  <c r="E19" i="2"/>
  <c r="G46" i="2"/>
  <c r="F46" i="2"/>
  <c r="E46" i="2"/>
  <c r="E53" i="2" s="1"/>
  <c r="D46" i="2"/>
  <c r="D30" i="5"/>
  <c r="G8" i="1"/>
  <c r="G7" i="1"/>
  <c r="D107" i="5"/>
  <c r="B48" i="5"/>
  <c r="G88" i="5"/>
  <c r="E95" i="5" s="1"/>
  <c r="F88" i="5"/>
  <c r="E88" i="5"/>
  <c r="N114" i="5"/>
  <c r="M114" i="5" s="1"/>
  <c r="P114" i="5"/>
  <c r="C4" i="6"/>
  <c r="D25" i="5"/>
  <c r="D47" i="2" s="1"/>
  <c r="G41" i="5"/>
  <c r="F41" i="5"/>
  <c r="E41" i="5"/>
  <c r="G2" i="2"/>
  <c r="G15" i="5" s="1"/>
  <c r="F2" i="2"/>
  <c r="F15" i="5" s="1"/>
  <c r="E2" i="2"/>
  <c r="E15" i="5" s="1"/>
  <c r="G18" i="2"/>
  <c r="F18" i="2"/>
  <c r="E6" i="2"/>
  <c r="C26" i="2"/>
  <c r="D2" i="2"/>
  <c r="D15" i="5" s="1"/>
  <c r="C2" i="2"/>
  <c r="D5" i="5"/>
  <c r="D4" i="5"/>
  <c r="E7" i="1"/>
  <c r="D21" i="5"/>
  <c r="G17" i="5"/>
  <c r="E17" i="5"/>
  <c r="F17" i="5"/>
  <c r="D17" i="5"/>
  <c r="R7" i="5" s="1"/>
  <c r="H7" i="5"/>
  <c r="D9" i="5"/>
  <c r="Q154" i="5"/>
  <c r="O154" i="5"/>
  <c r="D154" i="5"/>
  <c r="Q153" i="5"/>
  <c r="O153" i="5"/>
  <c r="G153" i="5"/>
  <c r="E153" i="5"/>
  <c r="C153" i="5"/>
  <c r="Q152" i="5"/>
  <c r="O152" i="5"/>
  <c r="E152" i="5"/>
  <c r="C152" i="5"/>
  <c r="L127" i="5"/>
  <c r="L128" i="5" s="1"/>
  <c r="D127" i="5"/>
  <c r="D128" i="5" s="1"/>
  <c r="L125" i="5"/>
  <c r="L124" i="5" s="1"/>
  <c r="D125" i="5"/>
  <c r="D124" i="5" s="1"/>
  <c r="P123" i="5"/>
  <c r="Q123" i="5" s="1"/>
  <c r="N123" i="5"/>
  <c r="M123" i="5" s="1"/>
  <c r="H123" i="5"/>
  <c r="I123" i="5" s="1"/>
  <c r="F123" i="5"/>
  <c r="E123" i="5" s="1"/>
  <c r="B152" i="5" s="1"/>
  <c r="L118" i="5"/>
  <c r="L119" i="5" s="1"/>
  <c r="D118" i="5"/>
  <c r="D119" i="5" s="1"/>
  <c r="L116" i="5"/>
  <c r="L115" i="5" s="1"/>
  <c r="D116" i="5"/>
  <c r="D115" i="5" s="1"/>
  <c r="H114" i="5"/>
  <c r="I114" i="5" s="1"/>
  <c r="F114" i="5"/>
  <c r="E114" i="5" s="1"/>
  <c r="B153" i="5" s="1"/>
  <c r="I60" i="5"/>
  <c r="I65" i="5" s="1"/>
  <c r="U5" i="5" s="1"/>
  <c r="U6" i="5" s="1"/>
  <c r="U7" i="5" s="1"/>
  <c r="D7" i="5"/>
  <c r="D10" i="5" s="1"/>
  <c r="C42" i="5" s="1"/>
  <c r="C89" i="5" s="1"/>
  <c r="I23" i="1"/>
  <c r="I15" i="1"/>
  <c r="I14" i="1"/>
  <c r="I13" i="1"/>
  <c r="M10" i="1"/>
  <c r="G9" i="1"/>
  <c r="E9" i="1"/>
  <c r="E8" i="1"/>
  <c r="I21" i="1"/>
  <c r="G33" i="2"/>
  <c r="G44" i="2" s="1"/>
  <c r="F33" i="2"/>
  <c r="F44" i="2" s="1"/>
  <c r="E33" i="2"/>
  <c r="C33" i="2"/>
  <c r="D33" i="2"/>
  <c r="I20" i="1"/>
  <c r="G25" i="2"/>
  <c r="F25" i="2"/>
  <c r="E25" i="2"/>
  <c r="I8" i="1" s="1"/>
  <c r="D25" i="2"/>
  <c r="C25" i="2"/>
  <c r="D24" i="2"/>
  <c r="C24" i="2"/>
  <c r="G23" i="2"/>
  <c r="F23" i="2"/>
  <c r="E23" i="2"/>
  <c r="I6" i="1" s="1"/>
  <c r="D23" i="2"/>
  <c r="C23" i="2"/>
  <c r="I7" i="1" s="1"/>
  <c r="E18" i="2"/>
  <c r="A18" i="2"/>
  <c r="C11" i="2"/>
  <c r="A8" i="2"/>
  <c r="A7" i="2"/>
  <c r="G6" i="2"/>
  <c r="F6" i="2"/>
  <c r="A6" i="2"/>
  <c r="A5" i="2"/>
  <c r="C3" i="2"/>
  <c r="C45" i="2" s="1"/>
  <c r="D53" i="2" l="1"/>
  <c r="S7" i="5"/>
  <c r="E39" i="2"/>
  <c r="E44" i="2"/>
  <c r="D44" i="2"/>
  <c r="D49" i="2" s="1"/>
  <c r="T7" i="5"/>
  <c r="V7" i="5" s="1"/>
  <c r="E49" i="2"/>
  <c r="D88" i="5"/>
  <c r="D41" i="5"/>
  <c r="B39" i="5"/>
  <c r="F19" i="2"/>
  <c r="D76" i="5"/>
  <c r="C76" i="5"/>
  <c r="D50" i="2"/>
  <c r="D54" i="2"/>
  <c r="G53" i="2"/>
  <c r="G49" i="2"/>
  <c r="F53" i="2"/>
  <c r="F49" i="2"/>
  <c r="E48" i="5"/>
  <c r="B47" i="5"/>
  <c r="G154" i="5"/>
  <c r="B95" i="5"/>
  <c r="H8" i="5"/>
  <c r="B86" i="5"/>
  <c r="Q114" i="5"/>
  <c r="G152" i="5" s="1"/>
  <c r="G39" i="2"/>
  <c r="F39" i="2"/>
  <c r="C12" i="2"/>
  <c r="P154" i="5"/>
  <c r="E9" i="2"/>
  <c r="E7" i="2" s="1"/>
  <c r="I9" i="1"/>
  <c r="D12" i="2"/>
  <c r="E8" i="2"/>
  <c r="C4" i="2"/>
  <c r="E18" i="5"/>
  <c r="D24" i="5"/>
  <c r="G18" i="5"/>
  <c r="F18" i="5"/>
  <c r="G36" i="5"/>
  <c r="G37" i="5" s="1"/>
  <c r="F36" i="5"/>
  <c r="C36" i="5"/>
  <c r="D36" i="5"/>
  <c r="E36" i="5"/>
  <c r="P152" i="5"/>
  <c r="D153" i="5"/>
  <c r="D22" i="5"/>
  <c r="P153" i="5"/>
  <c r="D152" i="5"/>
  <c r="G22" i="2"/>
  <c r="G14" i="2"/>
  <c r="G10" i="2"/>
  <c r="G27" i="2"/>
  <c r="G36" i="2"/>
  <c r="F22" i="2"/>
  <c r="F14" i="2"/>
  <c r="F10" i="2"/>
  <c r="F36" i="2"/>
  <c r="F27" i="2"/>
  <c r="I24" i="1"/>
  <c r="I25" i="1"/>
  <c r="E27" i="2"/>
  <c r="E36" i="2"/>
  <c r="E22" i="2"/>
  <c r="E14" i="2"/>
  <c r="E10" i="2"/>
  <c r="D14" i="2"/>
  <c r="D22" i="2"/>
  <c r="D36" i="2"/>
  <c r="D27" i="2"/>
  <c r="D10" i="2"/>
  <c r="C27" i="2"/>
  <c r="C36" i="2"/>
  <c r="C10" i="2"/>
  <c r="C14" i="2"/>
  <c r="C22" i="2"/>
  <c r="E89" i="5" l="1"/>
  <c r="E90" i="5" s="1"/>
  <c r="M8" i="1"/>
  <c r="M11" i="1"/>
  <c r="D26" i="5"/>
  <c r="R5" i="5"/>
  <c r="S5" i="5" s="1"/>
  <c r="T5" i="5" s="1"/>
  <c r="V5" i="5" s="1"/>
  <c r="G19" i="2"/>
  <c r="D29" i="5"/>
  <c r="F37" i="5"/>
  <c r="G29" i="5"/>
  <c r="D37" i="5"/>
  <c r="E29" i="5"/>
  <c r="E37" i="5"/>
  <c r="F29" i="5"/>
  <c r="I16" i="1"/>
  <c r="F8" i="2"/>
  <c r="E12" i="2"/>
  <c r="C13" i="2"/>
  <c r="F13" i="2"/>
  <c r="E13" i="2"/>
  <c r="G13" i="2"/>
  <c r="D13" i="2"/>
  <c r="D26" i="2"/>
  <c r="D19" i="5"/>
  <c r="R6" i="5" s="1"/>
  <c r="S6" i="5" s="1"/>
  <c r="T6" i="5" s="1"/>
  <c r="V6" i="5" s="1"/>
  <c r="L13" i="1" l="1"/>
  <c r="M29" i="1"/>
  <c r="D20" i="5"/>
  <c r="D11" i="2"/>
  <c r="D3" i="2"/>
  <c r="C3" i="6" l="1"/>
  <c r="C5" i="6" s="1"/>
  <c r="D45" i="2"/>
  <c r="M13" i="1"/>
  <c r="E26" i="2"/>
  <c r="E19" i="5"/>
  <c r="D29" i="2"/>
  <c r="D4" i="2"/>
  <c r="D4" i="6" l="1"/>
  <c r="D3" i="6"/>
  <c r="I11" i="1"/>
  <c r="I10" i="1"/>
  <c r="E20" i="5"/>
  <c r="G26" i="2"/>
  <c r="G19" i="5"/>
  <c r="C55" i="5" s="1"/>
  <c r="F26" i="2"/>
  <c r="F19" i="5"/>
  <c r="D16" i="6" l="1"/>
  <c r="H6" i="5" s="1"/>
  <c r="M9" i="1" l="1"/>
  <c r="F9" i="2"/>
  <c r="F7" i="2" s="1"/>
  <c r="M3" i="1"/>
  <c r="E3" i="2"/>
  <c r="E11" i="2" l="1"/>
  <c r="E45" i="2"/>
  <c r="M14" i="1"/>
  <c r="I17" i="1"/>
  <c r="G8" i="2"/>
  <c r="F12" i="2"/>
  <c r="L14" i="1" s="1"/>
  <c r="M4" i="1"/>
  <c r="E29" i="2"/>
  <c r="M6" i="1"/>
  <c r="M7" i="1" s="1"/>
  <c r="G9" i="2"/>
  <c r="G7" i="2" s="1"/>
  <c r="F29" i="2"/>
  <c r="F3" i="2"/>
  <c r="F45" i="2" s="1"/>
  <c r="E4" i="2"/>
  <c r="L16" i="1" l="1"/>
  <c r="M30" i="1"/>
  <c r="M16" i="1"/>
  <c r="M17" i="1"/>
  <c r="M18" i="1"/>
  <c r="F4" i="2"/>
  <c r="F11" i="2"/>
  <c r="L17" i="1" s="1"/>
  <c r="G29" i="2"/>
  <c r="G3" i="2"/>
  <c r="G45" i="2" s="1"/>
  <c r="L20" i="1"/>
  <c r="M15" i="1" l="1"/>
  <c r="I18" i="1"/>
  <c r="G12" i="2"/>
  <c r="L15" i="1" s="1"/>
  <c r="G4" i="2"/>
  <c r="G11" i="2"/>
  <c r="L18" i="1" s="1"/>
  <c r="L21" i="1"/>
  <c r="M31" i="1"/>
  <c r="M21" i="1"/>
  <c r="L19" i="1"/>
  <c r="M19" i="1"/>
  <c r="M20" i="1"/>
  <c r="F20" i="5" l="1"/>
  <c r="G20" i="5"/>
  <c r="E30" i="5" l="1"/>
  <c r="I29" i="1"/>
  <c r="I30" i="1"/>
  <c r="D31" i="5" s="1"/>
  <c r="E31" i="5" s="1"/>
  <c r="F31" i="5" s="1"/>
  <c r="G31" i="5" s="1"/>
  <c r="I22" i="1"/>
  <c r="G30" i="5"/>
  <c r="F30" i="5"/>
  <c r="E16" i="2" l="1"/>
  <c r="F38" i="2"/>
  <c r="F28" i="5" s="1"/>
  <c r="E56" i="2" l="1"/>
  <c r="E37" i="2"/>
  <c r="E41" i="2" s="1"/>
  <c r="E21" i="5"/>
  <c r="E24" i="2"/>
  <c r="F16" i="2"/>
  <c r="G38" i="2"/>
  <c r="G16" i="2" l="1"/>
  <c r="G28" i="5"/>
  <c r="F37" i="2"/>
  <c r="F41" i="2" s="1"/>
  <c r="F56" i="2"/>
  <c r="E26" i="5"/>
  <c r="E25" i="5"/>
  <c r="E22" i="5"/>
  <c r="F24" i="2"/>
  <c r="F21" i="5"/>
  <c r="G24" i="2" l="1"/>
  <c r="G37" i="2"/>
  <c r="G41" i="2" s="1"/>
  <c r="G56" i="2"/>
  <c r="G21" i="5"/>
  <c r="E42" i="2"/>
  <c r="F89" i="5" s="1"/>
  <c r="E47" i="2"/>
  <c r="F22" i="5"/>
  <c r="G22" i="5"/>
  <c r="E42" i="5"/>
  <c r="E43" i="5" s="1"/>
  <c r="F90" i="5" l="1"/>
  <c r="E50" i="2"/>
  <c r="E54" i="2"/>
  <c r="F25" i="5"/>
  <c r="F26" i="5"/>
  <c r="F42" i="5" s="1"/>
  <c r="F43" i="5" s="1"/>
  <c r="G25" i="5"/>
  <c r="G42" i="2" s="1"/>
  <c r="G26" i="5"/>
  <c r="G42" i="5" s="1"/>
  <c r="G47" i="2"/>
  <c r="C53" i="5" l="1"/>
  <c r="C54" i="5"/>
  <c r="F47" i="2"/>
  <c r="F42" i="2"/>
  <c r="G89" i="5" s="1"/>
  <c r="G43" i="5"/>
  <c r="I55" i="5"/>
  <c r="L123" i="5" s="1"/>
  <c r="G50" i="2"/>
  <c r="G54" i="2"/>
  <c r="I102" i="5" l="1"/>
  <c r="D73" i="5"/>
  <c r="D75" i="5" s="1"/>
  <c r="D77" i="5" s="1"/>
  <c r="F50" i="2"/>
  <c r="F54" i="2"/>
  <c r="G90" i="5"/>
  <c r="C102" i="5" l="1"/>
  <c r="C73" i="5"/>
  <c r="C75" i="5" s="1"/>
  <c r="C77" i="5" s="1"/>
  <c r="I53" i="5"/>
  <c r="I54" i="5"/>
  <c r="D80" i="5"/>
  <c r="D82" i="5"/>
  <c r="D81" i="5"/>
  <c r="C100" i="5" l="1"/>
  <c r="C101" i="5"/>
  <c r="C82" i="5"/>
  <c r="C80" i="5"/>
  <c r="C81" i="5"/>
  <c r="L114" i="5" s="1"/>
  <c r="D123" i="5"/>
  <c r="N7" i="5"/>
  <c r="C106" i="5" l="1"/>
  <c r="C108" i="5" s="1"/>
  <c r="M8" i="5" s="1"/>
  <c r="I101" i="5"/>
  <c r="D114" i="5"/>
  <c r="M7" i="5"/>
  <c r="I100" i="5" l="1"/>
  <c r="D106" i="5"/>
  <c r="D108" i="5" s="1"/>
  <c r="N8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8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Richard Piotrowski:
</t>
        </r>
        <r>
          <rPr>
            <sz val="10"/>
            <color rgb="FF000000"/>
            <rFont val="Arial"/>
            <family val="2"/>
          </rPr>
          <t>Goldman Sachs</t>
        </r>
      </text>
    </comment>
    <comment ref="C9" authorId="0" shapeId="0" xr:uid="{00000000-0006-0000-0000-000002000000}">
      <text>
        <r>
          <rPr>
            <sz val="10"/>
            <color rgb="FF000000"/>
            <rFont val="Arial"/>
            <family val="2"/>
          </rPr>
          <t xml:space="preserve">Richard Piotrowski:
</t>
        </r>
        <r>
          <rPr>
            <sz val="10"/>
            <color rgb="FF000000"/>
            <rFont val="Arial"/>
            <family val="2"/>
          </rPr>
          <t>Goldman Sachs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tc={393D2D8D-C9A7-4177-8422-3094C59B454F}</author>
    <author>tc={9609C2F6-1575-4E2F-9764-F24D3E16E5A1}</author>
    <author>tc={CB2A414E-8A34-4121-AAC4-9C39A59D3941}</author>
    <author>Matan Feldman</author>
    <author>Wall Street Prep</author>
  </authors>
  <commentList>
    <comment ref="R5" authorId="0" shapeId="0" xr:uid="{393D2D8D-C9A7-4177-8422-3094C59B45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Earnings
</t>
      </text>
    </comment>
    <comment ref="R6" authorId="1" shapeId="0" xr:uid="{9609C2F6-1575-4E2F-9764-F24D3E16E5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EBITDA
</t>
      </text>
    </comment>
    <comment ref="R7" authorId="2" shapeId="0" xr:uid="{CB2A414E-8A34-4121-AAC4-9C39A59D3941}">
      <text>
        <t>[Threaded comment]
Your version of Excel allows you to read this threaded comment; however, any edits to it will get removed if the file is opened in a newer version of Excel. Learn more: https://go.microsoft.com/fwlink/?linkid=870924
Comment:
    Sales</t>
      </text>
    </comment>
    <comment ref="H9" authorId="3" shapeId="0" xr:uid="{581D1874-9CDF-4D68-B6CB-3D23E53BF552}">
      <text>
        <r>
          <rPr>
            <b/>
            <sz val="9"/>
            <color indexed="81"/>
            <rFont val="Tahoma"/>
            <family val="2"/>
          </rPr>
          <t>Matan Feldman:</t>
        </r>
        <r>
          <rPr>
            <sz val="9"/>
            <color indexed="81"/>
            <rFont val="Tahoma"/>
            <family val="2"/>
          </rPr>
          <t xml:space="preserve">
1 = Midyear CF
0 = End of year CF</t>
        </r>
      </text>
    </comment>
    <comment ref="B66" authorId="3" shapeId="0" xr:uid="{4C8374CA-5504-47AF-BD89-B3623237E710}">
      <text>
        <r>
          <rPr>
            <b/>
            <sz val="9"/>
            <color indexed="81"/>
            <rFont val="Tahoma"/>
            <family val="2"/>
          </rPr>
          <t>Matan Feldman:</t>
        </r>
        <r>
          <rPr>
            <sz val="9"/>
            <color indexed="81"/>
            <rFont val="Tahoma"/>
            <family val="2"/>
          </rPr>
          <t xml:space="preserve">
Include cash &amp; equivalents, short term and long term marketable securites and investments</t>
        </r>
      </text>
    </comment>
    <comment ref="N82" authorId="4" shapeId="0" xr:uid="{DB1AA8F1-669A-499B-ADBC-16C92D2C150E}">
      <text>
        <r>
          <rPr>
            <b/>
            <sz val="9"/>
            <color indexed="81"/>
            <rFont val="Tahoma"/>
            <family val="2"/>
          </rPr>
          <t>Wall Street Prep:</t>
        </r>
        <r>
          <rPr>
            <sz val="9"/>
            <color indexed="81"/>
            <rFont val="Tahoma"/>
            <family val="2"/>
          </rPr>
          <t xml:space="preserve">
Implied g = [r -FCF(t)/TV]/(1+FCF(t)/TV)
</t>
        </r>
      </text>
    </comment>
  </commentList>
</comments>
</file>

<file path=xl/sharedStrings.xml><?xml version="1.0" encoding="utf-8"?>
<sst xmlns="http://schemas.openxmlformats.org/spreadsheetml/2006/main" count="357" uniqueCount="300">
  <si>
    <t>Share Symbol:</t>
  </si>
  <si>
    <t>Exchange Traded:</t>
  </si>
  <si>
    <t>FUNDAMENTALS</t>
  </si>
  <si>
    <t>Recent price: (US$)</t>
  </si>
  <si>
    <t>Student:</t>
  </si>
  <si>
    <t>Most Recent Qtr Report</t>
  </si>
  <si>
    <t>Market Capitalization (M $$)</t>
  </si>
  <si>
    <t>Date:</t>
  </si>
  <si>
    <t>TXST Email:</t>
  </si>
  <si>
    <t>Last Full Fiscal Year</t>
  </si>
  <si>
    <t>Enterprise Value (M $$)</t>
  </si>
  <si>
    <t>Index</t>
  </si>
  <si>
    <t>Earnings (GAAP)</t>
  </si>
  <si>
    <t>E (% Chg)-cagr</t>
  </si>
  <si>
    <t>Multiple</t>
  </si>
  <si>
    <t>Profitability</t>
  </si>
  <si>
    <t>Balance Sheet</t>
  </si>
  <si>
    <t>S&amp;P 500 (t-1)</t>
  </si>
  <si>
    <t>Gross Margin (%)</t>
  </si>
  <si>
    <t>Cash - M $$</t>
  </si>
  <si>
    <t>S&amp;P 500 (Current)</t>
  </si>
  <si>
    <t>Avg Gross Margin (3 yrs)</t>
  </si>
  <si>
    <t>Cash per Share - $$</t>
  </si>
  <si>
    <t>S&amp;P 500 (t+1)</t>
  </si>
  <si>
    <t>Net Margin (%)</t>
  </si>
  <si>
    <t>Free Cash Flow  to the firm- M $$</t>
  </si>
  <si>
    <t>S&amp;P 500 (t+2)</t>
  </si>
  <si>
    <t>Net Margin (3 Yrs)</t>
  </si>
  <si>
    <t>FCFF per Share - SS</t>
  </si>
  <si>
    <t>Company Description</t>
  </si>
  <si>
    <t>CATALYSTS (RECENT DEVELOPMENTS)</t>
  </si>
  <si>
    <t>EBITDA Margin (%)</t>
  </si>
  <si>
    <t>Net Debt - M $$</t>
  </si>
  <si>
    <t>Avg EBITDA Margin (%)</t>
  </si>
  <si>
    <t>Net Debt/FCF - %</t>
  </si>
  <si>
    <t>Outlook</t>
  </si>
  <si>
    <t>Valuation Models</t>
  </si>
  <si>
    <t>Price Target</t>
  </si>
  <si>
    <t>Revenue Growth (LTM)</t>
  </si>
  <si>
    <t>P/E (Current - LTM)</t>
  </si>
  <si>
    <t>Revenue Growth (Fwd 12month)</t>
  </si>
  <si>
    <t>P/E (Fwd 12 Months)</t>
  </si>
  <si>
    <t>Revenue Segments</t>
  </si>
  <si>
    <t>WHAT'S UNIQUE (MOAT)</t>
  </si>
  <si>
    <t>Revenue Growth (Fwd 24month)</t>
  </si>
  <si>
    <t>P/E (Fwd 24 Months)</t>
  </si>
  <si>
    <t>EPS Growth (LTM)</t>
  </si>
  <si>
    <t>MC/Rev (Current - LTM)</t>
  </si>
  <si>
    <t>Mult = (pr*sh)/rev</t>
  </si>
  <si>
    <t>EPS Growth (Fwd 12Month)</t>
  </si>
  <si>
    <t>MC/Rev (Fwd 12Month)</t>
  </si>
  <si>
    <t>(Mult*Rev)/Sh</t>
  </si>
  <si>
    <t>EPS Growth (Fwd 24Month)</t>
  </si>
  <si>
    <t>MC/Rev (Fwd 24Month)</t>
  </si>
  <si>
    <t>Mult = (EV / EBITDA)</t>
  </si>
  <si>
    <t>How Does the Company Make Money (Unit Economics)??</t>
  </si>
  <si>
    <t>Main Strengths</t>
  </si>
  <si>
    <t>Capital Allocation</t>
  </si>
  <si>
    <t>EV / EBITDA (LTM)</t>
  </si>
  <si>
    <t>Mult = (MC + Debt - Cash) / EBITDA</t>
  </si>
  <si>
    <t>ROE</t>
  </si>
  <si>
    <t>EV/EBITDA (Fwd 12Months)</t>
  </si>
  <si>
    <t>Mult = ((Pr * SH)+ Debt - Cash) / EBITDA</t>
  </si>
  <si>
    <t>Avg ROE (3 Yrs)</t>
  </si>
  <si>
    <t>EV/EBITDA (Fwd 24Months)</t>
  </si>
  <si>
    <t>((Mult*EBITDA)+Cash-Debt)/Sh</t>
  </si>
  <si>
    <t>Asset Turnover</t>
  </si>
  <si>
    <t>Mult = EV / FCF</t>
  </si>
  <si>
    <t>Main Risks</t>
  </si>
  <si>
    <t>Avg AT (3 yrs)</t>
  </si>
  <si>
    <t>Mult = ((Pr*sh)+Debt-Cash)/ FCF</t>
  </si>
  <si>
    <t>Main Peers / Comps</t>
  </si>
  <si>
    <t>Fincl Lev</t>
  </si>
  <si>
    <t>Pr = ((Mult * FCF)+Cash-Debt) / Sh</t>
  </si>
  <si>
    <t>Avg Fincl Lev (3 Yrs)</t>
  </si>
  <si>
    <t>Share Price (USD) - 5 yrs</t>
  </si>
  <si>
    <t>Capital Intensity</t>
  </si>
  <si>
    <t>Normalized Multiples</t>
  </si>
  <si>
    <t>CAPEX/Revenues - %</t>
  </si>
  <si>
    <t>(P/E) / EGr (Fwd 1Yr) - x</t>
  </si>
  <si>
    <t>Avg CAPEX/Rev (3 yrs) - %</t>
  </si>
  <si>
    <t>(MC/Rev) / RevGr (Fwd 1Yr) - x</t>
  </si>
  <si>
    <t>(EV/EBITDA) / EBITDA Gr (Fwd 1Yr) - x</t>
  </si>
  <si>
    <t>SUMMARY DATA (M$)</t>
  </si>
  <si>
    <t>Market Capitalization (M$)</t>
  </si>
  <si>
    <t>Enterprise Value (M$)</t>
  </si>
  <si>
    <t>FD Shares outstanding (M)</t>
  </si>
  <si>
    <t>VALUATION MULTIPLES</t>
  </si>
  <si>
    <t>Mkt Cap/Revenue</t>
  </si>
  <si>
    <t>P/E</t>
  </si>
  <si>
    <t>EV/EBITDA</t>
  </si>
  <si>
    <t>INCOME STATEMENT (Millions $$)</t>
  </si>
  <si>
    <t>Cost of Sales</t>
  </si>
  <si>
    <t>EBIT (aka Pre-Tax Income / Oper Inc)</t>
  </si>
  <si>
    <t>Net Income (t) - Current FY</t>
  </si>
  <si>
    <t>Income Taxes</t>
  </si>
  <si>
    <t>EBITDA</t>
  </si>
  <si>
    <t>MARGINS (%)</t>
  </si>
  <si>
    <t>Gross Margin</t>
  </si>
  <si>
    <t>EBIT Margin (aka Pre-Tax Margin)</t>
  </si>
  <si>
    <t>Net Income Margin (%)</t>
  </si>
  <si>
    <t>EBITDA Margin</t>
  </si>
  <si>
    <t>BALANCE SHEET (Millions $$)</t>
  </si>
  <si>
    <t>CASH &amp; MKTBLE SECURITIES</t>
  </si>
  <si>
    <t>Cash &amp; Mktble Sec per Share</t>
  </si>
  <si>
    <t>Total Assets</t>
  </si>
  <si>
    <t>Current Assets</t>
  </si>
  <si>
    <t>Current Liabilities</t>
  </si>
  <si>
    <t>Net Working Capital</t>
  </si>
  <si>
    <t>Long Term Debt</t>
  </si>
  <si>
    <t>Equity</t>
  </si>
  <si>
    <t>CASH FLOW STATEMENT (Millions $$)</t>
  </si>
  <si>
    <t>NOPAT</t>
  </si>
  <si>
    <t>Depreciation + Amortization</t>
  </si>
  <si>
    <t>Change in NWC</t>
  </si>
  <si>
    <t>Capital Expenditures (PPE)</t>
  </si>
  <si>
    <t>Free Cash Flow to the Firm</t>
  </si>
  <si>
    <t>Discounted Cash Flow Valuation</t>
  </si>
  <si>
    <t>$ and shares in thousands, except for per share data</t>
  </si>
  <si>
    <t>Company name</t>
  </si>
  <si>
    <t>Ticker symbol</t>
  </si>
  <si>
    <t>Most recent fiscal year end</t>
  </si>
  <si>
    <t>Discount rate (WACC)</t>
  </si>
  <si>
    <t>End of first fiscal year</t>
  </si>
  <si>
    <t>Share price (Public Co)</t>
  </si>
  <si>
    <t>Most recent quarter end date</t>
  </si>
  <si>
    <t>Share price date</t>
  </si>
  <si>
    <t xml:space="preserve">Valuation date </t>
  </si>
  <si>
    <t>Midyear adjustment?</t>
  </si>
  <si>
    <t>Portion of year 1 cash flows in forecast</t>
  </si>
  <si>
    <t>Unlevered Free Cash Flows</t>
  </si>
  <si>
    <t>Actual</t>
  </si>
  <si>
    <t>Forecasts</t>
  </si>
  <si>
    <t>Fiscal year ended</t>
  </si>
  <si>
    <t>Revenue</t>
  </si>
  <si>
    <t>% growth</t>
  </si>
  <si>
    <t>% margin</t>
  </si>
  <si>
    <t>EBIT</t>
  </si>
  <si>
    <t>Tax on EBIT</t>
  </si>
  <si>
    <t>Tax rate</t>
  </si>
  <si>
    <t>NOPAT (aka EBIAT)</t>
  </si>
  <si>
    <t>Depreciation &amp; amortization</t>
  </si>
  <si>
    <t>Changes in net working capital</t>
  </si>
  <si>
    <t>Capital expenditures</t>
  </si>
  <si>
    <t>as % of revenue</t>
  </si>
  <si>
    <t>Unlevered free cash flows (UFCF)</t>
  </si>
  <si>
    <t>Net working capital (WC Assets - WC liabilities)</t>
  </si>
  <si>
    <t>Val date</t>
  </si>
  <si>
    <t xml:space="preserve">Yr 1 - Stub </t>
  </si>
  <si>
    <t>Year 2</t>
  </si>
  <si>
    <t>Year 3</t>
  </si>
  <si>
    <t>Date for discounting cash flows</t>
  </si>
  <si>
    <t>Unlevered free cash flows (UFCF) stub adjusted</t>
  </si>
  <si>
    <t>&lt;-Stub year counts first year cash flows starting at the valuation date</t>
  </si>
  <si>
    <t>Present value of of unlevered free cash flows</t>
  </si>
  <si>
    <t>Terminal value - growth in perpetuity approach</t>
  </si>
  <si>
    <t>Terminal value - EBITDA multiple approach</t>
  </si>
  <si>
    <t>Long term growth rate</t>
  </si>
  <si>
    <t>Terminal year EBITDA</t>
  </si>
  <si>
    <t>EBITDA multiple</t>
  </si>
  <si>
    <t>Present value of terminal value</t>
  </si>
  <si>
    <t>Present value of stage 1 cash flows</t>
  </si>
  <si>
    <t>Total enterprise value (TEV)</t>
  </si>
  <si>
    <t>Enterprise value (stage 1 + 2)</t>
  </si>
  <si>
    <t>Terminal value as % of TEV</t>
  </si>
  <si>
    <t>Stage 1 cash flows as % of TEV</t>
  </si>
  <si>
    <t>Implied TV exit EBITDA multiple</t>
  </si>
  <si>
    <t>Implied terminal growth rate</t>
  </si>
  <si>
    <t>Net debt</t>
  </si>
  <si>
    <t>Shares outstanding</t>
  </si>
  <si>
    <t>Source doc</t>
  </si>
  <si>
    <t>Factset</t>
  </si>
  <si>
    <t>Source date</t>
  </si>
  <si>
    <t>Date</t>
  </si>
  <si>
    <t>Shares</t>
  </si>
  <si>
    <t>Gross debt and equivalents</t>
  </si>
  <si>
    <t>Basic shares</t>
  </si>
  <si>
    <t>Q1 2020 10Q</t>
  </si>
  <si>
    <t>Debt</t>
  </si>
  <si>
    <t>Restricted stock / RSUs</t>
  </si>
  <si>
    <t>Convertible debt</t>
  </si>
  <si>
    <t>Options / warrants</t>
  </si>
  <si>
    <t>&lt;-These are options issued by the company, like to executives</t>
  </si>
  <si>
    <t>Preferred stock</t>
  </si>
  <si>
    <t>&lt;-Look on FINRA for this if you can't find it in the 10-K</t>
  </si>
  <si>
    <t>Noncontrolling (minority) interests</t>
  </si>
  <si>
    <t>Convertible preferred stock</t>
  </si>
  <si>
    <t>&lt;-Very few companies have this</t>
  </si>
  <si>
    <t>Nonoperating assets</t>
  </si>
  <si>
    <t>Net diluted shares outstanding</t>
  </si>
  <si>
    <t xml:space="preserve">Cash </t>
  </si>
  <si>
    <t xml:space="preserve">Equity investments </t>
  </si>
  <si>
    <t>Valuation</t>
  </si>
  <si>
    <t>Perpetuity</t>
  </si>
  <si>
    <t>Enterprise value</t>
  </si>
  <si>
    <t xml:space="preserve">Equity value </t>
  </si>
  <si>
    <t>Equity value per share</t>
  </si>
  <si>
    <t>Year 1 Multiples</t>
  </si>
  <si>
    <t>EV / Revenue</t>
  </si>
  <si>
    <t xml:space="preserve">EV / EBITDA </t>
  </si>
  <si>
    <t>EV / EBIT</t>
  </si>
  <si>
    <t>Outputs</t>
  </si>
  <si>
    <t>Year 1 EBITDA multiple</t>
  </si>
  <si>
    <t>Long term growth rate (g):</t>
  </si>
  <si>
    <t>WACC:</t>
  </si>
  <si>
    <t xml:space="preserve">Data </t>
  </si>
  <si>
    <t>Tables</t>
  </si>
  <si>
    <t>Exit EBITDA Multiple</t>
  </si>
  <si>
    <t>Equity value range</t>
  </si>
  <si>
    <t>Football field</t>
  </si>
  <si>
    <t>Low</t>
  </si>
  <si>
    <t>Diff.</t>
  </si>
  <si>
    <t>High</t>
  </si>
  <si>
    <t>52 Week Market High/Low</t>
  </si>
  <si>
    <t>Market Value of Equity</t>
  </si>
  <si>
    <t>Book Value of Debt</t>
  </si>
  <si>
    <t>Total Market Value (EV)</t>
  </si>
  <si>
    <t>Cost of Equity:</t>
  </si>
  <si>
    <t>Rm - Rf (Market Risk Premium)</t>
  </si>
  <si>
    <t>Rf</t>
  </si>
  <si>
    <t>Beta</t>
  </si>
  <si>
    <t>Cost of Equity</t>
  </si>
  <si>
    <t>Cost of Debt</t>
  </si>
  <si>
    <t>WACC</t>
  </si>
  <si>
    <t>Free Cash Flow to Equity</t>
  </si>
  <si>
    <t>EBIT(1-t)+D&amp;A-Capex-change in NWC</t>
  </si>
  <si>
    <t>FCFF - Interest(1-t) + Net Borrowings</t>
  </si>
  <si>
    <t>Interest Expense</t>
  </si>
  <si>
    <t>Free cash flow to the firm</t>
  </si>
  <si>
    <t>Free cash flow to equity</t>
  </si>
  <si>
    <t>Total equity value (TEV)</t>
  </si>
  <si>
    <t>Terminal value - PE multiple approach</t>
  </si>
  <si>
    <t>PE</t>
  </si>
  <si>
    <t>Equity Value</t>
  </si>
  <si>
    <t>Terminal year Earnings</t>
  </si>
  <si>
    <t>Free cash flow to the firm (FCFF)</t>
  </si>
  <si>
    <t>Summary:</t>
  </si>
  <si>
    <t>FCFF</t>
  </si>
  <si>
    <t>FCFE</t>
  </si>
  <si>
    <t>Terminal Value Assumption</t>
  </si>
  <si>
    <t>Perpetual Growth</t>
  </si>
  <si>
    <t>Dollar Amount</t>
  </si>
  <si>
    <t>Weight</t>
  </si>
  <si>
    <t>D/MVE ratio</t>
  </si>
  <si>
    <t>PE multiple</t>
  </si>
  <si>
    <t>Hamada's formula</t>
  </si>
  <si>
    <t>ROC</t>
  </si>
  <si>
    <t>(Capex+WC needs)/NI - "b"</t>
  </si>
  <si>
    <t>g for FCFF</t>
  </si>
  <si>
    <t>g for FCFE</t>
  </si>
  <si>
    <t>Setting g =</t>
  </si>
  <si>
    <t>b using FCFF</t>
  </si>
  <si>
    <t>b using FCFE</t>
  </si>
  <si>
    <t>Interest Coverage</t>
  </si>
  <si>
    <t>R(j)=Rf+Beta(j)*(Rm-Rf)</t>
  </si>
  <si>
    <t>industry average beta</t>
  </si>
  <si>
    <t>D/E for industry</t>
  </si>
  <si>
    <t>t for industry</t>
  </si>
  <si>
    <t>Industry unlevered beta</t>
  </si>
  <si>
    <t>Relever for my company</t>
  </si>
  <si>
    <t>Company D/E</t>
  </si>
  <si>
    <t>t for company</t>
  </si>
  <si>
    <t>Beta estimate Hamada's</t>
  </si>
  <si>
    <t>b*ROE</t>
  </si>
  <si>
    <t>b*ROC</t>
  </si>
  <si>
    <t>Estimate for 2029 FCF</t>
  </si>
  <si>
    <t>PV(0) = CF(1)/(r-g)</t>
  </si>
  <si>
    <t>MV(0)= PV(FCFF) - Debt + Cash</t>
  </si>
  <si>
    <t>Implied TV exit PE multiple</t>
  </si>
  <si>
    <t>Company</t>
  </si>
  <si>
    <t>EV/Sales</t>
  </si>
  <si>
    <t xml:space="preserve"> Multiple</t>
  </si>
  <si>
    <t>P/E ratio</t>
  </si>
  <si>
    <t>Times</t>
  </si>
  <si>
    <t>Product</t>
  </si>
  <si>
    <t>Adjusted</t>
  </si>
  <si>
    <t>Shares O/S</t>
  </si>
  <si>
    <t>Value Estimate</t>
  </si>
  <si>
    <t>Relative Valuation</t>
  </si>
  <si>
    <t>The Hershey Company (HSY)</t>
  </si>
  <si>
    <t>HSY</t>
  </si>
  <si>
    <t>NYSE</t>
  </si>
  <si>
    <t>Chris Lester</t>
  </si>
  <si>
    <t>2QFY26</t>
  </si>
  <si>
    <t>wjs65@txstate.edu</t>
  </si>
  <si>
    <t>Founded in 1894, Hershey is the largest producer of quality chocolate in North America and a leading U.S. snack maker. Brands include Hershey's, Reese's, Kisses, Jolly Rancher and Kit Kat (U.S.) and salty snacks (SkinnyPop, Dot's Homestyle Pretzels). FY2025 net sales were $11.69 billion; about 19,600 employees. Source: FY2025 Form 10-K (S1).</t>
  </si>
  <si>
    <t>1) Q3 2026 results, expected Oct 22, 2026: management expects the year's strongest earnings growth as peak cocoa costs are lapped (S3).  2) Cocoa is down more than 70% from late-2024 highs; the relief reaches margins with a lag through hedges and inventory (S6).  3) FY2026 guidance raised in July: net sales growth of 4.5 to 5.0% and adjusted EPS of $8.36 to $8.52 (S2).</t>
  </si>
  <si>
    <t>FY2025 net sales (S1): North America Confectionery $9,479.7M (81%); North America Salty Snacks $1,271.3M (11%); International $941.6M (8%).</t>
  </si>
  <si>
    <t>1) Brands with pricing power: Hershey's, Reese's and Kisses carried roughly 14% price increases in 2026 and net sales still grew (S3, S4).  2) Scale: the largest producer of quality chocolate in North America, with the manufacturing and retail distribution that come with it (S1).</t>
  </si>
  <si>
    <t>Hershey sells branded chocolate, sweets and snacks to retailers and distributors. Revenue is volume times net price, and price is the lever: Q2 2026 net sales rose 6.6% on roughly 14% pricing while confectionery volume fell about 10% (S3, S4).
The swing cost is cocoa, then sugar, dairy and packaging: gross margin fell from 47.3% in FY2024 to 33.5% in FY2025 as cocoa peaked (S1).
Reinvestment is light: capex was 3.9% of sales in FY2025, below D&amp;A, so operating profit converts to cash ($2.28B operating cash flow) and is returned as dividends ($1.09B) (S1).</t>
  </si>
  <si>
    <t>1) Cash generation: $2.28B of operating cash flow in FY2025, a trough-margin year (S1).</t>
  </si>
  <si>
    <t>2) Low capital intensity: capex 3.9% of sales, below D&amp;A (S1).</t>
  </si>
  <si>
    <t>3) Pricing power: Q2 2026 net sales up 6.6% on about 14% pricing (S3, S4).</t>
  </si>
  <si>
    <t>1) Volume: confectionery volume fell about 10% in Q2 2026 as prices rose (S4).</t>
  </si>
  <si>
    <t>1) Mondelez (MDLZ)</t>
  </si>
  <si>
    <t>3) Lindt &amp; Spruengli (LISN)</t>
  </si>
  <si>
    <t>2) Cocoa: one input took operating margin from 25.9% to 12.3% in a year (S1, S6).</t>
  </si>
  <si>
    <t>2) Nestle (NESN)</t>
  </si>
  <si>
    <t>4) General Mills (GIS)</t>
  </si>
  <si>
    <t>3) Concentration: North America Confectionery is 81% of net sales (S1).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</si>
</sst>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\$#,##0.00_);&quot;($&quot;#,##0.00\)"/>
    <numFmt numFmtId="166" formatCode="\$#,##0_);[Red]&quot;($&quot;#,##0\)"/>
    <numFmt numFmtId="167" formatCode="0.0%"/>
    <numFmt numFmtId="168" formatCode="\$#,##0"/>
    <numFmt numFmtId="169" formatCode="0.0\x"/>
    <numFmt numFmtId="170" formatCode="\$#,##0.00"/>
    <numFmt numFmtId="171" formatCode="#,##0.0_);[Red]\(#,##0.0\)"/>
    <numFmt numFmtId="172" formatCode="\$#,##0.00_);[Red]&quot;($&quot;#,##0.00\)"/>
    <numFmt numFmtId="173" formatCode="0.0%_);\(0.0%\);@_)"/>
    <numFmt numFmtId="174" formatCode="#,##0_);\(#,##0\);@_)"/>
    <numFmt numFmtId="175" formatCode="_(#,##0.0%_);\(#,##0.0%\);_(&quot;–&quot;_)_%;_(@_)_%"/>
    <numFmt numFmtId="176" formatCode="m/d/yy;@"/>
    <numFmt numFmtId="177" formatCode="0000\A"/>
    <numFmt numFmtId="178" formatCode="0000\P"/>
    <numFmt numFmtId="179" formatCode="0.0\x_);\(0.0\x\);@_)"/>
    <numFmt numFmtId="180" formatCode="0.000%_);\(0.000%\);@_)"/>
    <numFmt numFmtId="181" formatCode="#,##0.000_);\(#,##0.000\);@_)"/>
    <numFmt numFmtId="182" formatCode="#,##0.000_);\(#,##0.000\)"/>
    <numFmt numFmtId="183" formatCode="#,##0.000"/>
    <numFmt numFmtId="184" formatCode="_([$$]#,##0_)_%;\([$$]#,##0\)_%;_(&quot;–&quot;_)_%;_(@_)_%"/>
    <numFmt numFmtId="185" formatCode="&quot;$&quot;#,##0.00_);\(&quot;$&quot;#,##0.00\);@_)"/>
    <numFmt numFmtId="186" formatCode="_(0.0_)_'_x;_(\(0.0\)_';_(&quot;–&quot;_)_%;_(@_)_%"/>
    <numFmt numFmtId="187" formatCode="_(0.0\x_)_';_(\(0.0\x\)_';_(&quot;–&quot;_)_%;_(@_)_%"/>
    <numFmt numFmtId="188" formatCode="#,##0.00_);\(#,##0.00\);\-_);@_)"/>
    <numFmt numFmtId="189" formatCode="#,##0.0_);\(#,##0.0\);\-_);@_)"/>
    <numFmt numFmtId="190" formatCode="_(#,##0.00%_);\(#,##0.00%\);_(&quot;–&quot;_)_%;_(@_)_%"/>
    <numFmt numFmtId="191" formatCode="0.000"/>
    <numFmt numFmtId="192" formatCode="0.0000%"/>
    <numFmt numFmtId="193" formatCode="_(* #,##0_);_(* \(#,##0\);_(* &quot;-&quot;??_);_(@_)"/>
    <numFmt numFmtId="194" formatCode="&quot;$&quot;#,##0_);\(&quot;$&quot;#,##0\);@_)"/>
  </numFmts>
  <fonts count="48" x14ac:knownFonts="1">
    <font>
      <sz val="10"/>
      <name val="Courier New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charset val="1"/>
    </font>
    <font>
      <b/>
      <sz val="11"/>
      <name val="Calibri"/>
      <family val="2"/>
      <charset val="1"/>
    </font>
    <font>
      <b/>
      <sz val="12"/>
      <name val="Calibri"/>
      <family val="2"/>
      <charset val="1"/>
    </font>
    <font>
      <b/>
      <sz val="14"/>
      <name val="Calibri"/>
      <family val="2"/>
      <charset val="1"/>
    </font>
    <font>
      <b/>
      <sz val="9"/>
      <name val="Calibri"/>
      <family val="2"/>
      <charset val="1"/>
    </font>
    <font>
      <u/>
      <sz val="10"/>
      <color theme="10"/>
      <name val="Courier New"/>
      <family val="3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0"/>
      <name val="Times New Roman"/>
      <family val="1"/>
      <charset val="1"/>
    </font>
    <font>
      <b/>
      <sz val="9"/>
      <name val="Times New Roman"/>
      <family val="1"/>
      <charset val="1"/>
    </font>
    <font>
      <b/>
      <sz val="12"/>
      <name val="Times New Roman"/>
      <family val="1"/>
      <charset val="1"/>
    </font>
    <font>
      <sz val="9"/>
      <name val="Times New Roman"/>
      <family val="1"/>
      <charset val="1"/>
    </font>
    <font>
      <i/>
      <sz val="9"/>
      <name val="Times New Roman"/>
      <family val="1"/>
      <charset val="1"/>
    </font>
    <font>
      <sz val="10"/>
      <name val="Arial"/>
      <family val="2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sz val="10"/>
      <name val="Calibri"/>
      <family val="2"/>
    </font>
    <font>
      <b/>
      <sz val="10"/>
      <name val="Times New Roman"/>
      <family val="1"/>
      <charset val="1"/>
    </font>
    <font>
      <i/>
      <sz val="8"/>
      <name val="Times New Roman"/>
      <family val="1"/>
      <charset val="1"/>
    </font>
    <font>
      <sz val="10"/>
      <name val="Courier New"/>
      <family val="3"/>
    </font>
    <font>
      <b/>
      <sz val="11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 val="singleAccounting"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8"/>
      <color theme="4" tint="-0.249977111117893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2CC"/>
      </patternFill>
    </fill>
    <fill>
      <patternFill patternType="solid">
        <fgColor theme="4" tint="0.59987182226020086"/>
        <bgColor rgb="FFBDD7EE"/>
      </patternFill>
    </fill>
    <fill>
      <patternFill patternType="solid">
        <fgColor theme="8" tint="0.59987182226020086"/>
        <bgColor rgb="FFB4C7E7"/>
      </patternFill>
    </fill>
    <fill>
      <patternFill patternType="solid">
        <fgColor theme="5"/>
        <bgColor rgb="FFFF8080"/>
      </patternFill>
    </fill>
    <fill>
      <patternFill patternType="solid">
        <fgColor theme="9" tint="0.79989013336588644"/>
        <bgColor rgb="FFFFF2CC"/>
      </patternFill>
    </fill>
    <fill>
      <patternFill patternType="solid">
        <fgColor theme="7" tint="0.79989013336588644"/>
        <bgColor rgb="FFE2F0D9"/>
      </patternFill>
    </fill>
    <fill>
      <patternFill patternType="solid">
        <fgColor theme="9" tint="0.39988402966399123"/>
        <bgColor rgb="FFC5E0B4"/>
      </patternFill>
    </fill>
    <fill>
      <patternFill patternType="solid">
        <fgColor rgb="FFD2F2FF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E2F0D9"/>
      </patternFill>
    </fill>
  </fills>
  <borders count="4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hair">
        <color rgb="FF000000"/>
      </bottom>
      <diagonal/>
    </border>
    <border>
      <left/>
      <right style="medium">
        <color indexed="64"/>
      </right>
      <top/>
      <bottom style="hair">
        <color rgb="FF000000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0">
    <xf numFmtId="164" fontId="0" fillId="0" borderId="0"/>
    <xf numFmtId="43" fontId="27" fillId="0" borderId="0" applyFont="0" applyFill="0" applyBorder="0" applyAlignment="0" applyProtection="0"/>
    <xf numFmtId="0" fontId="7" fillId="0" borderId="0"/>
    <xf numFmtId="0" fontId="33" fillId="0" borderId="0" applyNumberForma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7" fillId="0" borderId="0" applyFont="0" applyFill="0" applyBorder="0" applyAlignment="0" applyProtection="0"/>
    <xf numFmtId="9" fontId="27" fillId="0" borderId="0" applyFont="0" applyFill="0" applyBorder="0" applyAlignment="0" applyProtection="0"/>
  </cellStyleXfs>
  <cellXfs count="407">
    <xf numFmtId="164" fontId="0" fillId="0" borderId="0" xfId="0"/>
    <xf numFmtId="0" fontId="0" fillId="0" borderId="0" xfId="0" applyNumberFormat="1"/>
    <xf numFmtId="164" fontId="9" fillId="0" borderId="3" xfId="0" applyFont="1" applyBorder="1" applyAlignment="1">
      <alignment horizontal="left" vertical="center"/>
    </xf>
    <xf numFmtId="164" fontId="8" fillId="0" borderId="4" xfId="0" applyFont="1" applyBorder="1" applyAlignment="1">
      <alignment horizontal="center" vertical="center"/>
    </xf>
    <xf numFmtId="164" fontId="10" fillId="2" borderId="5" xfId="0" applyFont="1" applyFill="1" applyBorder="1" applyAlignment="1">
      <alignment horizontal="center" vertical="center"/>
    </xf>
    <xf numFmtId="164" fontId="8" fillId="0" borderId="6" xfId="0" applyFont="1" applyBorder="1" applyAlignment="1">
      <alignment horizontal="center" vertical="center"/>
    </xf>
    <xf numFmtId="164" fontId="9" fillId="0" borderId="7" xfId="0" applyFont="1" applyBorder="1" applyAlignment="1">
      <alignment horizontal="left" vertical="center"/>
    </xf>
    <xf numFmtId="164" fontId="9" fillId="3" borderId="7" xfId="0" applyFont="1" applyFill="1" applyBorder="1" applyAlignment="1">
      <alignment horizontal="left"/>
    </xf>
    <xf numFmtId="165" fontId="12" fillId="0" borderId="6" xfId="0" applyNumberFormat="1" applyFont="1" applyBorder="1" applyAlignment="1">
      <alignment horizontal="center"/>
    </xf>
    <xf numFmtId="165" fontId="12" fillId="2" borderId="8" xfId="0" applyNumberFormat="1" applyFont="1" applyFill="1" applyBorder="1" applyAlignment="1">
      <alignment horizontal="center"/>
    </xf>
    <xf numFmtId="164" fontId="8" fillId="0" borderId="6" xfId="0" applyFont="1" applyBorder="1" applyAlignment="1">
      <alignment vertical="center"/>
    </xf>
    <xf numFmtId="164" fontId="14" fillId="0" borderId="9" xfId="0" applyFont="1" applyBorder="1" applyAlignment="1">
      <alignment vertical="center"/>
    </xf>
    <xf numFmtId="164" fontId="15" fillId="2" borderId="10" xfId="0" applyFont="1" applyFill="1" applyBorder="1" applyAlignment="1">
      <alignment horizontal="center" vertical="center"/>
    </xf>
    <xf numFmtId="166" fontId="15" fillId="0" borderId="10" xfId="0" applyNumberFormat="1" applyFont="1" applyBorder="1" applyAlignment="1">
      <alignment horizontal="center" vertical="center"/>
    </xf>
    <xf numFmtId="164" fontId="9" fillId="3" borderId="11" xfId="0" applyFont="1" applyFill="1" applyBorder="1" applyAlignment="1">
      <alignment horizontal="left"/>
    </xf>
    <xf numFmtId="165" fontId="12" fillId="0" borderId="12" xfId="0" applyNumberFormat="1" applyFont="1" applyBorder="1" applyAlignment="1">
      <alignment horizontal="center"/>
    </xf>
    <xf numFmtId="14" fontId="12" fillId="2" borderId="13" xfId="0" applyNumberFormat="1" applyFont="1" applyFill="1" applyBorder="1" applyAlignment="1">
      <alignment horizontal="center"/>
    </xf>
    <xf numFmtId="164" fontId="8" fillId="0" borderId="0" xfId="0" applyFont="1" applyAlignment="1">
      <alignment vertical="center"/>
    </xf>
    <xf numFmtId="164" fontId="9" fillId="0" borderId="11" xfId="0" applyFont="1" applyBorder="1" applyAlignment="1">
      <alignment horizontal="left" vertical="center"/>
    </xf>
    <xf numFmtId="164" fontId="14" fillId="0" borderId="11" xfId="0" applyFont="1" applyBorder="1" applyAlignment="1">
      <alignment vertical="center"/>
    </xf>
    <xf numFmtId="164" fontId="15" fillId="2" borderId="13" xfId="0" applyFont="1" applyFill="1" applyBorder="1" applyAlignment="1">
      <alignment horizontal="center" vertical="center"/>
    </xf>
    <xf numFmtId="164" fontId="14" fillId="0" borderId="7" xfId="0" applyFont="1" applyBorder="1" applyAlignment="1">
      <alignment vertical="center"/>
    </xf>
    <xf numFmtId="164" fontId="0" fillId="0" borderId="6" xfId="0" applyBorder="1"/>
    <xf numFmtId="166" fontId="15" fillId="0" borderId="8" xfId="0" applyNumberFormat="1" applyFont="1" applyBorder="1" applyAlignment="1">
      <alignment horizontal="center" vertical="center"/>
    </xf>
    <xf numFmtId="164" fontId="16" fillId="0" borderId="7" xfId="0" applyFont="1" applyBorder="1"/>
    <xf numFmtId="164" fontId="16" fillId="0" borderId="6" xfId="0" applyFont="1" applyBorder="1"/>
    <xf numFmtId="38" fontId="17" fillId="4" borderId="2" xfId="0" applyNumberFormat="1" applyFont="1" applyFill="1" applyBorder="1" applyAlignment="1">
      <alignment horizontal="center"/>
    </xf>
    <xf numFmtId="164" fontId="17" fillId="4" borderId="3" xfId="0" applyFont="1" applyFill="1" applyBorder="1" applyAlignment="1">
      <alignment horizontal="center"/>
    </xf>
    <xf numFmtId="38" fontId="17" fillId="4" borderId="4" xfId="0" applyNumberFormat="1" applyFont="1" applyFill="1" applyBorder="1" applyAlignment="1">
      <alignment horizontal="center"/>
    </xf>
    <xf numFmtId="164" fontId="17" fillId="4" borderId="5" xfId="0" applyFont="1" applyFill="1" applyBorder="1" applyAlignment="1">
      <alignment horizontal="center"/>
    </xf>
    <xf numFmtId="164" fontId="17" fillId="0" borderId="9" xfId="0" applyFont="1" applyBorder="1" applyAlignment="1">
      <alignment horizontal="center"/>
    </xf>
    <xf numFmtId="164" fontId="17" fillId="0" borderId="0" xfId="0" applyFont="1" applyAlignment="1">
      <alignment horizontal="center"/>
    </xf>
    <xf numFmtId="40" fontId="19" fillId="5" borderId="10" xfId="0" applyNumberFormat="1" applyFont="1" applyFill="1" applyBorder="1" applyAlignment="1">
      <alignment horizontal="center"/>
    </xf>
    <xf numFmtId="167" fontId="20" fillId="0" borderId="7" xfId="0" applyNumberFormat="1" applyFont="1" applyBorder="1" applyAlignment="1">
      <alignment horizontal="center"/>
    </xf>
    <xf numFmtId="164" fontId="0" fillId="0" borderId="8" xfId="0" applyBorder="1"/>
    <xf numFmtId="164" fontId="16" fillId="0" borderId="9" xfId="0" applyFont="1" applyBorder="1" applyAlignment="1">
      <alignment vertical="center" wrapText="1"/>
    </xf>
    <xf numFmtId="9" fontId="16" fillId="0" borderId="10" xfId="0" applyNumberFormat="1" applyFont="1" applyBorder="1" applyAlignment="1">
      <alignment horizontal="center" vertical="top" wrapText="1"/>
    </xf>
    <xf numFmtId="164" fontId="16" fillId="0" borderId="0" xfId="0" applyFont="1" applyAlignment="1">
      <alignment vertical="top" wrapText="1"/>
    </xf>
    <xf numFmtId="168" fontId="16" fillId="0" borderId="10" xfId="0" applyNumberFormat="1" applyFont="1" applyBorder="1" applyAlignment="1">
      <alignment horizontal="center" vertical="top" wrapText="1"/>
    </xf>
    <xf numFmtId="40" fontId="19" fillId="2" borderId="10" xfId="0" applyNumberFormat="1" applyFont="1" applyFill="1" applyBorder="1" applyAlignment="1">
      <alignment horizontal="center"/>
    </xf>
    <xf numFmtId="167" fontId="20" fillId="0" borderId="9" xfId="0" applyNumberFormat="1" applyFont="1" applyBorder="1" applyAlignment="1">
      <alignment horizontal="center"/>
    </xf>
    <xf numFmtId="40" fontId="19" fillId="0" borderId="0" xfId="0" applyNumberFormat="1" applyFont="1" applyAlignment="1">
      <alignment horizontal="center"/>
    </xf>
    <xf numFmtId="169" fontId="19" fillId="6" borderId="10" xfId="0" applyNumberFormat="1" applyFont="1" applyFill="1" applyBorder="1" applyAlignment="1">
      <alignment horizontal="center"/>
    </xf>
    <xf numFmtId="170" fontId="16" fillId="0" borderId="10" xfId="0" applyNumberFormat="1" applyFont="1" applyBorder="1" applyAlignment="1">
      <alignment horizontal="center" vertical="top" wrapText="1"/>
    </xf>
    <xf numFmtId="169" fontId="19" fillId="0" borderId="10" xfId="0" applyNumberFormat="1" applyFont="1" applyBorder="1" applyAlignment="1">
      <alignment horizontal="center"/>
    </xf>
    <xf numFmtId="164" fontId="17" fillId="0" borderId="11" xfId="0" applyFont="1" applyBorder="1" applyAlignment="1">
      <alignment horizontal="center"/>
    </xf>
    <xf numFmtId="164" fontId="19" fillId="0" borderId="12" xfId="0" applyFont="1" applyBorder="1" applyAlignment="1">
      <alignment horizontal="center"/>
    </xf>
    <xf numFmtId="40" fontId="19" fillId="5" borderId="13" xfId="0" applyNumberFormat="1" applyFont="1" applyFill="1" applyBorder="1" applyAlignment="1">
      <alignment horizontal="center"/>
    </xf>
    <xf numFmtId="167" fontId="20" fillId="0" borderId="11" xfId="0" applyNumberFormat="1" applyFont="1" applyBorder="1" applyAlignment="1">
      <alignment horizontal="center"/>
    </xf>
    <xf numFmtId="40" fontId="19" fillId="0" borderId="12" xfId="0" applyNumberFormat="1" applyFont="1" applyBorder="1" applyAlignment="1">
      <alignment horizontal="center"/>
    </xf>
    <xf numFmtId="169" fontId="19" fillId="0" borderId="13" xfId="0" applyNumberFormat="1" applyFont="1" applyBorder="1" applyAlignment="1">
      <alignment horizontal="center"/>
    </xf>
    <xf numFmtId="164" fontId="16" fillId="0" borderId="11" xfId="0" applyFont="1" applyBorder="1" applyAlignment="1">
      <alignment vertical="center" wrapText="1"/>
    </xf>
    <xf numFmtId="9" fontId="16" fillId="0" borderId="13" xfId="0" applyNumberFormat="1" applyFont="1" applyBorder="1" applyAlignment="1">
      <alignment horizontal="center" vertical="top" wrapText="1"/>
    </xf>
    <xf numFmtId="164" fontId="16" fillId="0" borderId="12" xfId="0" applyFont="1" applyBorder="1" applyAlignment="1">
      <alignment vertical="top" wrapText="1"/>
    </xf>
    <xf numFmtId="167" fontId="16" fillId="0" borderId="13" xfId="0" applyNumberFormat="1" applyFont="1" applyBorder="1" applyAlignment="1">
      <alignment horizontal="center" vertical="top" wrapText="1"/>
    </xf>
    <xf numFmtId="164" fontId="18" fillId="5" borderId="3" xfId="0" applyFont="1" applyFill="1" applyBorder="1" applyAlignment="1">
      <alignment horizontal="center" vertical="center"/>
    </xf>
    <xf numFmtId="164" fontId="18" fillId="5" borderId="4" xfId="0" applyFont="1" applyFill="1" applyBorder="1" applyAlignment="1">
      <alignment horizontal="center" vertical="center"/>
    </xf>
    <xf numFmtId="164" fontId="18" fillId="5" borderId="5" xfId="0" applyFont="1" applyFill="1" applyBorder="1" applyAlignment="1">
      <alignment horizontal="center" vertical="center"/>
    </xf>
    <xf numFmtId="164" fontId="16" fillId="0" borderId="9" xfId="0" applyFont="1" applyBorder="1" applyAlignment="1">
      <alignment vertical="center"/>
    </xf>
    <xf numFmtId="167" fontId="16" fillId="0" borderId="10" xfId="0" applyNumberFormat="1" applyFont="1" applyBorder="1" applyAlignment="1">
      <alignment horizontal="center" vertical="top" wrapText="1"/>
    </xf>
    <xf numFmtId="164" fontId="16" fillId="0" borderId="7" xfId="0" applyFont="1" applyBorder="1" applyAlignment="1">
      <alignment vertical="center"/>
    </xf>
    <xf numFmtId="169" fontId="16" fillId="7" borderId="8" xfId="0" applyNumberFormat="1" applyFont="1" applyFill="1" applyBorder="1" applyAlignment="1">
      <alignment horizontal="center" vertical="center" wrapText="1"/>
    </xf>
    <xf numFmtId="168" fontId="16" fillId="7" borderId="1" xfId="0" applyNumberFormat="1" applyFont="1" applyFill="1" applyBorder="1" applyAlignment="1">
      <alignment horizontal="center" vertical="center"/>
    </xf>
    <xf numFmtId="169" fontId="16" fillId="0" borderId="10" xfId="0" applyNumberFormat="1" applyFont="1" applyBorder="1" applyAlignment="1">
      <alignment horizontal="center" vertical="center" wrapText="1"/>
    </xf>
    <xf numFmtId="168" fontId="16" fillId="7" borderId="14" xfId="0" applyNumberFormat="1" applyFont="1" applyFill="1" applyBorder="1" applyAlignment="1">
      <alignment horizontal="center" vertical="center"/>
    </xf>
    <xf numFmtId="164" fontId="16" fillId="0" borderId="11" xfId="0" applyFont="1" applyBorder="1" applyAlignment="1">
      <alignment vertical="center"/>
    </xf>
    <xf numFmtId="169" fontId="16" fillId="0" borderId="13" xfId="0" applyNumberFormat="1" applyFont="1" applyBorder="1" applyAlignment="1">
      <alignment horizontal="center" vertical="center" wrapText="1"/>
    </xf>
    <xf numFmtId="168" fontId="16" fillId="7" borderId="15" xfId="0" applyNumberFormat="1" applyFont="1" applyFill="1" applyBorder="1" applyAlignment="1">
      <alignment horizontal="center" vertical="center"/>
    </xf>
    <xf numFmtId="169" fontId="16" fillId="0" borderId="8" xfId="0" applyNumberFormat="1" applyFont="1" applyBorder="1" applyAlignment="1">
      <alignment horizontal="center" vertical="center" wrapText="1"/>
    </xf>
    <xf numFmtId="164" fontId="15" fillId="0" borderId="7" xfId="0" applyFont="1" applyBorder="1"/>
    <xf numFmtId="164" fontId="15" fillId="0" borderId="6" xfId="0" applyFont="1" applyBorder="1"/>
    <xf numFmtId="164" fontId="15" fillId="0" borderId="8" xfId="0" applyFont="1" applyBorder="1"/>
    <xf numFmtId="164" fontId="15" fillId="0" borderId="0" xfId="0" applyFont="1"/>
    <xf numFmtId="164" fontId="15" fillId="0" borderId="9" xfId="0" applyFont="1" applyBorder="1"/>
    <xf numFmtId="164" fontId="15" fillId="0" borderId="10" xfId="0" applyFont="1" applyBorder="1"/>
    <xf numFmtId="167" fontId="16" fillId="0" borderId="8" xfId="0" applyNumberFormat="1" applyFont="1" applyBorder="1" applyAlignment="1">
      <alignment horizontal="center" vertical="top" wrapText="1"/>
    </xf>
    <xf numFmtId="164" fontId="15" fillId="0" borderId="11" xfId="0" applyFont="1" applyBorder="1"/>
    <xf numFmtId="164" fontId="15" fillId="0" borderId="12" xfId="0" applyFont="1" applyBorder="1"/>
    <xf numFmtId="164" fontId="15" fillId="0" borderId="13" xfId="0" applyFont="1" applyBorder="1"/>
    <xf numFmtId="164" fontId="19" fillId="2" borderId="9" xfId="0" applyFont="1" applyFill="1" applyBorder="1" applyAlignment="1">
      <alignment vertical="top" wrapText="1"/>
    </xf>
    <xf numFmtId="164" fontId="0" fillId="2" borderId="9" xfId="0" applyFill="1" applyBorder="1"/>
    <xf numFmtId="164" fontId="0" fillId="2" borderId="0" xfId="0" applyFill="1"/>
    <xf numFmtId="164" fontId="8" fillId="2" borderId="0" xfId="0" applyFont="1" applyFill="1" applyAlignment="1">
      <alignment vertical="center"/>
    </xf>
    <xf numFmtId="164" fontId="0" fillId="2" borderId="10" xfId="0" applyFill="1" applyBorder="1"/>
    <xf numFmtId="164" fontId="16" fillId="0" borderId="6" xfId="0" applyFont="1" applyBorder="1" applyAlignment="1">
      <alignment vertical="top" wrapText="1"/>
    </xf>
    <xf numFmtId="169" fontId="16" fillId="0" borderId="8" xfId="0" applyNumberFormat="1" applyFont="1" applyBorder="1" applyAlignment="1">
      <alignment horizontal="center" vertical="top" wrapText="1"/>
    </xf>
    <xf numFmtId="164" fontId="0" fillId="0" borderId="0" xfId="0" applyAlignment="1">
      <alignment horizontal="center" vertical="center"/>
    </xf>
    <xf numFmtId="169" fontId="16" fillId="0" borderId="10" xfId="0" applyNumberFormat="1" applyFont="1" applyBorder="1" applyAlignment="1">
      <alignment horizontal="center" vertical="top" wrapText="1"/>
    </xf>
    <xf numFmtId="164" fontId="16" fillId="0" borderId="0" xfId="0" applyFont="1"/>
    <xf numFmtId="164" fontId="0" fillId="2" borderId="11" xfId="0" applyFill="1" applyBorder="1"/>
    <xf numFmtId="164" fontId="0" fillId="2" borderId="12" xfId="0" applyFill="1" applyBorder="1"/>
    <xf numFmtId="164" fontId="0" fillId="2" borderId="13" xfId="0" applyFill="1" applyBorder="1"/>
    <xf numFmtId="164" fontId="16" fillId="0" borderId="12" xfId="0" applyFont="1" applyBorder="1"/>
    <xf numFmtId="167" fontId="16" fillId="0" borderId="10" xfId="0" applyNumberFormat="1" applyFont="1" applyBorder="1" applyAlignment="1">
      <alignment horizontal="center"/>
    </xf>
    <xf numFmtId="164" fontId="23" fillId="0" borderId="6" xfId="0" applyFont="1" applyBorder="1" applyAlignment="1">
      <alignment horizontal="center"/>
    </xf>
    <xf numFmtId="164" fontId="12" fillId="5" borderId="12" xfId="0" applyFont="1" applyFill="1" applyBorder="1" applyAlignment="1">
      <alignment horizontal="center"/>
    </xf>
    <xf numFmtId="164" fontId="24" fillId="4" borderId="0" xfId="0" applyFont="1" applyFill="1" applyAlignment="1">
      <alignment horizontal="center"/>
    </xf>
    <xf numFmtId="164" fontId="0" fillId="4" borderId="12" xfId="0" applyFill="1" applyBorder="1" applyAlignment="1">
      <alignment horizontal="center"/>
    </xf>
    <xf numFmtId="164" fontId="17" fillId="0" borderId="7" xfId="0" applyFont="1" applyBorder="1"/>
    <xf numFmtId="164" fontId="17" fillId="0" borderId="6" xfId="0" applyFont="1" applyBorder="1"/>
    <xf numFmtId="168" fontId="22" fillId="8" borderId="6" xfId="0" applyNumberFormat="1" applyFont="1" applyFill="1" applyBorder="1" applyAlignment="1">
      <alignment horizontal="center"/>
    </xf>
    <xf numFmtId="168" fontId="23" fillId="8" borderId="6" xfId="0" applyNumberFormat="1" applyFont="1" applyFill="1" applyBorder="1" applyAlignment="1">
      <alignment horizontal="center"/>
    </xf>
    <xf numFmtId="168" fontId="23" fillId="8" borderId="8" xfId="0" applyNumberFormat="1" applyFont="1" applyFill="1" applyBorder="1" applyAlignment="1">
      <alignment horizontal="center"/>
    </xf>
    <xf numFmtId="164" fontId="23" fillId="0" borderId="9" xfId="0" applyFont="1" applyBorder="1"/>
    <xf numFmtId="164" fontId="23" fillId="0" borderId="0" xfId="0" applyFont="1"/>
    <xf numFmtId="168" fontId="22" fillId="8" borderId="0" xfId="0" applyNumberFormat="1" applyFont="1" applyFill="1" applyAlignment="1">
      <alignment horizontal="center"/>
    </xf>
    <xf numFmtId="168" fontId="22" fillId="8" borderId="10" xfId="0" applyNumberFormat="1" applyFont="1" applyFill="1" applyBorder="1" applyAlignment="1">
      <alignment horizontal="center"/>
    </xf>
    <xf numFmtId="164" fontId="23" fillId="0" borderId="9" xfId="0" applyFont="1" applyBorder="1" applyAlignment="1">
      <alignment horizontal="left"/>
    </xf>
    <xf numFmtId="164" fontId="23" fillId="0" borderId="0" xfId="0" applyFont="1" applyAlignment="1">
      <alignment horizontal="center"/>
    </xf>
    <xf numFmtId="166" fontId="23" fillId="2" borderId="0" xfId="0" applyNumberFormat="1" applyFont="1" applyFill="1" applyAlignment="1">
      <alignment horizontal="center"/>
    </xf>
    <xf numFmtId="166" fontId="23" fillId="8" borderId="0" xfId="0" applyNumberFormat="1" applyFont="1" applyFill="1" applyAlignment="1">
      <alignment horizontal="center"/>
    </xf>
    <xf numFmtId="166" fontId="23" fillId="2" borderId="10" xfId="0" applyNumberFormat="1" applyFont="1" applyFill="1" applyBorder="1" applyAlignment="1">
      <alignment horizontal="center"/>
    </xf>
    <xf numFmtId="166" fontId="23" fillId="8" borderId="10" xfId="0" applyNumberFormat="1" applyFont="1" applyFill="1" applyBorder="1" applyAlignment="1">
      <alignment horizontal="center"/>
    </xf>
    <xf numFmtId="172" fontId="23" fillId="2" borderId="0" xfId="0" applyNumberFormat="1" applyFont="1" applyFill="1" applyAlignment="1">
      <alignment horizontal="center"/>
    </xf>
    <xf numFmtId="172" fontId="23" fillId="8" borderId="0" xfId="0" applyNumberFormat="1" applyFont="1" applyFill="1" applyAlignment="1">
      <alignment horizontal="center"/>
    </xf>
    <xf numFmtId="164" fontId="22" fillId="0" borderId="11" xfId="0" applyFont="1" applyBorder="1" applyAlignment="1">
      <alignment horizontal="left"/>
    </xf>
    <xf numFmtId="164" fontId="22" fillId="0" borderId="12" xfId="0" applyFont="1" applyBorder="1" applyAlignment="1">
      <alignment horizontal="left"/>
    </xf>
    <xf numFmtId="171" fontId="22" fillId="2" borderId="12" xfId="0" applyNumberFormat="1" applyFont="1" applyFill="1" applyBorder="1" applyAlignment="1">
      <alignment horizontal="center"/>
    </xf>
    <xf numFmtId="171" fontId="22" fillId="8" borderId="12" xfId="0" applyNumberFormat="1" applyFont="1" applyFill="1" applyBorder="1" applyAlignment="1">
      <alignment horizontal="center"/>
    </xf>
    <xf numFmtId="171" fontId="23" fillId="8" borderId="12" xfId="0" applyNumberFormat="1" applyFont="1" applyFill="1" applyBorder="1" applyAlignment="1">
      <alignment horizontal="center"/>
    </xf>
    <xf numFmtId="171" fontId="22" fillId="8" borderId="13" xfId="0" applyNumberFormat="1" applyFont="1" applyFill="1" applyBorder="1" applyAlignment="1">
      <alignment horizontal="center"/>
    </xf>
    <xf numFmtId="164" fontId="17" fillId="5" borderId="3" xfId="0" applyFont="1" applyFill="1" applyBorder="1" applyAlignment="1">
      <alignment horizontal="center"/>
    </xf>
    <xf numFmtId="164" fontId="17" fillId="5" borderId="4" xfId="0" applyFont="1" applyFill="1" applyBorder="1" applyAlignment="1">
      <alignment horizontal="center"/>
    </xf>
    <xf numFmtId="164" fontId="17" fillId="4" borderId="4" xfId="0" applyFont="1" applyFill="1" applyBorder="1" applyAlignment="1">
      <alignment horizontal="center"/>
    </xf>
    <xf numFmtId="164" fontId="22" fillId="0" borderId="7" xfId="0" applyFont="1" applyBorder="1" applyAlignment="1">
      <alignment horizontal="left"/>
    </xf>
    <xf numFmtId="164" fontId="22" fillId="0" borderId="6" xfId="0" applyFont="1" applyBorder="1" applyAlignment="1">
      <alignment horizontal="left"/>
    </xf>
    <xf numFmtId="169" fontId="22" fillId="9" borderId="6" xfId="0" applyNumberFormat="1" applyFont="1" applyFill="1" applyBorder="1" applyAlignment="1">
      <alignment horizontal="center"/>
    </xf>
    <xf numFmtId="164" fontId="22" fillId="0" borderId="9" xfId="0" applyFont="1" applyBorder="1" applyAlignment="1">
      <alignment horizontal="left"/>
    </xf>
    <xf numFmtId="164" fontId="22" fillId="0" borderId="0" xfId="0" applyFont="1" applyAlignment="1">
      <alignment horizontal="left"/>
    </xf>
    <xf numFmtId="169" fontId="22" fillId="9" borderId="0" xfId="0" applyNumberFormat="1" applyFont="1" applyFill="1" applyAlignment="1">
      <alignment horizontal="center"/>
    </xf>
    <xf numFmtId="169" fontId="22" fillId="9" borderId="10" xfId="0" applyNumberFormat="1" applyFont="1" applyFill="1" applyBorder="1" applyAlignment="1">
      <alignment horizontal="center"/>
    </xf>
    <xf numFmtId="164" fontId="22" fillId="0" borderId="9" xfId="0" applyFont="1" applyBorder="1"/>
    <xf numFmtId="164" fontId="22" fillId="0" borderId="0" xfId="0" applyFont="1"/>
    <xf numFmtId="164" fontId="17" fillId="5" borderId="3" xfId="0" applyFont="1" applyFill="1" applyBorder="1"/>
    <xf numFmtId="164" fontId="17" fillId="5" borderId="4" xfId="0" applyFont="1" applyFill="1" applyBorder="1"/>
    <xf numFmtId="164" fontId="17" fillId="5" borderId="5" xfId="0" applyFont="1" applyFill="1" applyBorder="1" applyAlignment="1">
      <alignment horizontal="center"/>
    </xf>
    <xf numFmtId="166" fontId="22" fillId="2" borderId="6" xfId="0" applyNumberFormat="1" applyFont="1" applyFill="1" applyBorder="1" applyAlignment="1">
      <alignment horizontal="center"/>
    </xf>
    <xf numFmtId="164" fontId="23" fillId="0" borderId="0" xfId="0" applyFont="1" applyAlignment="1">
      <alignment horizontal="left"/>
    </xf>
    <xf numFmtId="166" fontId="22" fillId="2" borderId="0" xfId="0" applyNumberFormat="1" applyFont="1" applyFill="1" applyAlignment="1">
      <alignment horizontal="center"/>
    </xf>
    <xf numFmtId="166" fontId="22" fillId="8" borderId="0" xfId="0" applyNumberFormat="1" applyFont="1" applyFill="1" applyAlignment="1">
      <alignment horizontal="center"/>
    </xf>
    <xf numFmtId="166" fontId="22" fillId="8" borderId="10" xfId="0" applyNumberFormat="1" applyFont="1" applyFill="1" applyBorder="1" applyAlignment="1">
      <alignment horizontal="center"/>
    </xf>
    <xf numFmtId="164" fontId="23" fillId="0" borderId="11" xfId="0" applyFont="1" applyBorder="1"/>
    <xf numFmtId="164" fontId="25" fillId="0" borderId="12" xfId="0" applyFont="1" applyBorder="1"/>
    <xf numFmtId="167" fontId="26" fillId="8" borderId="6" xfId="0" applyNumberFormat="1" applyFont="1" applyFill="1" applyBorder="1" applyAlignment="1">
      <alignment horizontal="center"/>
    </xf>
    <xf numFmtId="167" fontId="26" fillId="8" borderId="8" xfId="0" applyNumberFormat="1" applyFont="1" applyFill="1" applyBorder="1" applyAlignment="1">
      <alignment horizontal="center"/>
    </xf>
    <xf numFmtId="167" fontId="26" fillId="8" borderId="0" xfId="0" applyNumberFormat="1" applyFont="1" applyFill="1" applyAlignment="1">
      <alignment horizontal="center"/>
    </xf>
    <xf numFmtId="167" fontId="26" fillId="8" borderId="10" xfId="0" applyNumberFormat="1" applyFont="1" applyFill="1" applyBorder="1" applyAlignment="1">
      <alignment horizontal="center"/>
    </xf>
    <xf numFmtId="164" fontId="22" fillId="0" borderId="11" xfId="0" applyFont="1" applyBorder="1"/>
    <xf numFmtId="164" fontId="22" fillId="0" borderId="12" xfId="0" applyFont="1" applyBorder="1"/>
    <xf numFmtId="167" fontId="26" fillId="8" borderId="12" xfId="0" applyNumberFormat="1" applyFont="1" applyFill="1" applyBorder="1" applyAlignment="1">
      <alignment horizontal="center"/>
    </xf>
    <xf numFmtId="167" fontId="26" fillId="8" borderId="13" xfId="0" applyNumberFormat="1" applyFont="1" applyFill="1" applyBorder="1" applyAlignment="1">
      <alignment horizontal="center"/>
    </xf>
    <xf numFmtId="164" fontId="17" fillId="5" borderId="3" xfId="0" applyFont="1" applyFill="1" applyBorder="1" applyAlignment="1">
      <alignment horizontal="left"/>
    </xf>
    <xf numFmtId="164" fontId="17" fillId="5" borderId="4" xfId="0" applyFont="1" applyFill="1" applyBorder="1" applyAlignment="1">
      <alignment horizontal="left"/>
    </xf>
    <xf numFmtId="172" fontId="22" fillId="8" borderId="0" xfId="0" applyNumberFormat="1" applyFont="1" applyFill="1" applyAlignment="1">
      <alignment horizontal="center"/>
    </xf>
    <xf numFmtId="172" fontId="22" fillId="8" borderId="10" xfId="0" applyNumberFormat="1" applyFont="1" applyFill="1" applyBorder="1" applyAlignment="1">
      <alignment horizontal="center"/>
    </xf>
    <xf numFmtId="164" fontId="16" fillId="0" borderId="0" xfId="0" applyFont="1" applyAlignment="1">
      <alignment horizontal="center"/>
    </xf>
    <xf numFmtId="166" fontId="22" fillId="2" borderId="12" xfId="0" applyNumberFormat="1" applyFont="1" applyFill="1" applyBorder="1" applyAlignment="1">
      <alignment horizontal="center"/>
    </xf>
    <xf numFmtId="170" fontId="22" fillId="0" borderId="0" xfId="0" applyNumberFormat="1" applyFont="1" applyAlignment="1">
      <alignment horizontal="center"/>
    </xf>
    <xf numFmtId="172" fontId="22" fillId="0" borderId="0" xfId="0" applyNumberFormat="1" applyFont="1" applyAlignment="1">
      <alignment horizontal="center"/>
    </xf>
    <xf numFmtId="168" fontId="22" fillId="0" borderId="0" xfId="0" applyNumberFormat="1" applyFont="1" applyAlignment="1">
      <alignment horizontal="center"/>
    </xf>
    <xf numFmtId="167" fontId="16" fillId="0" borderId="0" xfId="0" applyNumberFormat="1" applyFont="1" applyAlignment="1">
      <alignment horizontal="center"/>
    </xf>
    <xf numFmtId="168" fontId="16" fillId="0" borderId="0" xfId="0" applyNumberFormat="1" applyFont="1"/>
    <xf numFmtId="0" fontId="7" fillId="0" borderId="0" xfId="2"/>
    <xf numFmtId="0" fontId="28" fillId="0" borderId="16" xfId="2" applyFont="1" applyBorder="1"/>
    <xf numFmtId="0" fontId="7" fillId="0" borderId="16" xfId="2" applyBorder="1"/>
    <xf numFmtId="0" fontId="29" fillId="0" borderId="17" xfId="2" applyFont="1" applyBorder="1"/>
    <xf numFmtId="14" fontId="30" fillId="0" borderId="0" xfId="2" applyNumberFormat="1" applyFont="1"/>
    <xf numFmtId="173" fontId="31" fillId="0" borderId="0" xfId="2" applyNumberFormat="1" applyFont="1"/>
    <xf numFmtId="14" fontId="32" fillId="0" borderId="0" xfId="2" applyNumberFormat="1" applyFont="1"/>
    <xf numFmtId="7" fontId="30" fillId="0" borderId="0" xfId="2" applyNumberFormat="1" applyFont="1"/>
    <xf numFmtId="14" fontId="30" fillId="0" borderId="0" xfId="2" applyNumberFormat="1" applyFont="1" applyAlignment="1">
      <alignment horizontal="right"/>
    </xf>
    <xf numFmtId="0" fontId="33" fillId="0" borderId="0" xfId="3" applyBorder="1"/>
    <xf numFmtId="174" fontId="34" fillId="0" borderId="18" xfId="2" applyNumberFormat="1" applyFont="1" applyBorder="1" applyAlignment="1">
      <alignment horizontal="center"/>
    </xf>
    <xf numFmtId="175" fontId="32" fillId="0" borderId="0" xfId="2" applyNumberFormat="1" applyFont="1"/>
    <xf numFmtId="7" fontId="31" fillId="0" borderId="0" xfId="2" applyNumberFormat="1" applyFont="1" applyAlignment="1">
      <alignment horizontal="right"/>
    </xf>
    <xf numFmtId="0" fontId="28" fillId="0" borderId="19" xfId="2" applyFont="1" applyBorder="1"/>
    <xf numFmtId="0" fontId="7" fillId="0" borderId="19" xfId="2" applyBorder="1"/>
    <xf numFmtId="0" fontId="35" fillId="0" borderId="0" xfId="2" applyFont="1" applyAlignment="1">
      <alignment horizontal="centerContinuous"/>
    </xf>
    <xf numFmtId="0" fontId="28" fillId="0" borderId="0" xfId="2" applyFont="1"/>
    <xf numFmtId="174" fontId="7" fillId="0" borderId="0" xfId="2" applyNumberFormat="1"/>
    <xf numFmtId="174" fontId="31" fillId="0" borderId="19" xfId="2" applyNumberFormat="1" applyFont="1" applyBorder="1"/>
    <xf numFmtId="174" fontId="36" fillId="0" borderId="19" xfId="2" applyNumberFormat="1" applyFont="1" applyBorder="1" applyAlignment="1">
      <alignment horizontal="center"/>
    </xf>
    <xf numFmtId="174" fontId="32" fillId="0" borderId="19" xfId="2" applyNumberFormat="1" applyFont="1" applyBorder="1"/>
    <xf numFmtId="0" fontId="7" fillId="0" borderId="0" xfId="2" applyAlignment="1">
      <alignment horizontal="left"/>
    </xf>
    <xf numFmtId="9" fontId="7" fillId="0" borderId="0" xfId="2" applyNumberFormat="1"/>
    <xf numFmtId="0" fontId="32" fillId="10" borderId="0" xfId="2" applyFont="1" applyFill="1"/>
    <xf numFmtId="0" fontId="41" fillId="0" borderId="0" xfId="2" applyFont="1" applyAlignment="1">
      <alignment horizontal="centerContinuous"/>
    </xf>
    <xf numFmtId="0" fontId="35" fillId="0" borderId="20" xfId="2" applyFont="1" applyBorder="1" applyAlignment="1">
      <alignment horizontal="centerContinuous"/>
    </xf>
    <xf numFmtId="0" fontId="7" fillId="0" borderId="0" xfId="2" applyAlignment="1">
      <alignment horizontal="centerContinuous"/>
    </xf>
    <xf numFmtId="0" fontId="7" fillId="0" borderId="20" xfId="2" applyBorder="1" applyAlignment="1">
      <alignment horizontal="centerContinuous"/>
    </xf>
    <xf numFmtId="0" fontId="7" fillId="0" borderId="0" xfId="2" applyAlignment="1">
      <alignment horizontal="right"/>
    </xf>
    <xf numFmtId="39" fontId="7" fillId="0" borderId="21" xfId="2" applyNumberFormat="1" applyBorder="1" applyAlignment="1">
      <alignment horizontal="right"/>
    </xf>
    <xf numFmtId="167" fontId="32" fillId="11" borderId="22" xfId="2" applyNumberFormat="1" applyFont="1" applyFill="1" applyBorder="1"/>
    <xf numFmtId="167" fontId="32" fillId="11" borderId="23" xfId="2" applyNumberFormat="1" applyFont="1" applyFill="1" applyBorder="1"/>
    <xf numFmtId="167" fontId="30" fillId="11" borderId="23" xfId="2" applyNumberFormat="1" applyFont="1" applyFill="1" applyBorder="1"/>
    <xf numFmtId="167" fontId="32" fillId="11" borderId="20" xfId="2" applyNumberFormat="1" applyFont="1" applyFill="1" applyBorder="1"/>
    <xf numFmtId="179" fontId="7" fillId="0" borderId="24" xfId="2" applyNumberFormat="1" applyBorder="1" applyAlignment="1">
      <alignment horizontal="right"/>
    </xf>
    <xf numFmtId="167" fontId="32" fillId="11" borderId="25" xfId="2" applyNumberFormat="1" applyFont="1" applyFill="1" applyBorder="1" applyAlignment="1">
      <alignment horizontal="right"/>
    </xf>
    <xf numFmtId="188" fontId="7" fillId="0" borderId="0" xfId="2" applyNumberFormat="1"/>
    <xf numFmtId="188" fontId="7" fillId="0" borderId="20" xfId="2" applyNumberFormat="1" applyBorder="1"/>
    <xf numFmtId="179" fontId="7" fillId="0" borderId="0" xfId="2" applyNumberFormat="1" applyAlignment="1">
      <alignment horizontal="right"/>
    </xf>
    <xf numFmtId="167" fontId="30" fillId="11" borderId="25" xfId="2" applyNumberFormat="1" applyFont="1" applyFill="1" applyBorder="1" applyAlignment="1">
      <alignment horizontal="right"/>
    </xf>
    <xf numFmtId="0" fontId="38" fillId="10" borderId="0" xfId="2" applyFont="1" applyFill="1" applyAlignment="1">
      <alignment horizontal="center"/>
    </xf>
    <xf numFmtId="167" fontId="32" fillId="11" borderId="26" xfId="2" applyNumberFormat="1" applyFont="1" applyFill="1" applyBorder="1" applyAlignment="1">
      <alignment horizontal="right"/>
    </xf>
    <xf numFmtId="189" fontId="7" fillId="0" borderId="0" xfId="2" applyNumberFormat="1"/>
    <xf numFmtId="189" fontId="7" fillId="0" borderId="20" xfId="2" applyNumberFormat="1" applyBorder="1"/>
    <xf numFmtId="185" fontId="7" fillId="0" borderId="24" xfId="2" applyNumberFormat="1" applyBorder="1"/>
    <xf numFmtId="179" fontId="32" fillId="11" borderId="23" xfId="2" applyNumberFormat="1" applyFont="1" applyFill="1" applyBorder="1"/>
    <xf numFmtId="179" fontId="30" fillId="11" borderId="23" xfId="2" applyNumberFormat="1" applyFont="1" applyFill="1" applyBorder="1"/>
    <xf numFmtId="179" fontId="32" fillId="11" borderId="20" xfId="2" applyNumberFormat="1" applyFont="1" applyFill="1" applyBorder="1"/>
    <xf numFmtId="0" fontId="7" fillId="0" borderId="20" xfId="2" applyBorder="1"/>
    <xf numFmtId="0" fontId="28" fillId="12" borderId="0" xfId="2" applyFont="1" applyFill="1"/>
    <xf numFmtId="0" fontId="28" fillId="12" borderId="20" xfId="2" applyFont="1" applyFill="1" applyBorder="1"/>
    <xf numFmtId="190" fontId="7" fillId="0" borderId="0" xfId="2" applyNumberFormat="1"/>
    <xf numFmtId="0" fontId="7" fillId="0" borderId="22" xfId="2" applyBorder="1"/>
    <xf numFmtId="0" fontId="7" fillId="0" borderId="23" xfId="2" applyBorder="1" applyAlignment="1">
      <alignment horizontal="right"/>
    </xf>
    <xf numFmtId="0" fontId="7" fillId="0" borderId="27" xfId="2" applyBorder="1" applyAlignment="1">
      <alignment horizontal="right"/>
    </xf>
    <xf numFmtId="0" fontId="7" fillId="0" borderId="23" xfId="2" applyBorder="1"/>
    <xf numFmtId="0" fontId="7" fillId="0" borderId="28" xfId="2" applyBorder="1"/>
    <xf numFmtId="0" fontId="7" fillId="0" borderId="29" xfId="2" quotePrefix="1" applyBorder="1"/>
    <xf numFmtId="39" fontId="7" fillId="0" borderId="0" xfId="2" applyNumberFormat="1"/>
    <xf numFmtId="39" fontId="7" fillId="0" borderId="30" xfId="2" applyNumberFormat="1" applyBorder="1"/>
    <xf numFmtId="39" fontId="32" fillId="0" borderId="0" xfId="2" applyNumberFormat="1" applyFont="1"/>
    <xf numFmtId="39" fontId="32" fillId="0" borderId="30" xfId="2" applyNumberFormat="1" applyFont="1" applyBorder="1"/>
    <xf numFmtId="0" fontId="7" fillId="0" borderId="29" xfId="2" applyBorder="1"/>
    <xf numFmtId="0" fontId="7" fillId="0" borderId="31" xfId="2" applyBorder="1"/>
    <xf numFmtId="39" fontId="7" fillId="0" borderId="21" xfId="2" applyNumberFormat="1" applyBorder="1"/>
    <xf numFmtId="39" fontId="7" fillId="0" borderId="24" xfId="2" applyNumberFormat="1" applyBorder="1"/>
    <xf numFmtId="0" fontId="7" fillId="0" borderId="21" xfId="2" applyBorder="1"/>
    <xf numFmtId="0" fontId="7" fillId="0" borderId="32" xfId="2" applyBorder="1"/>
    <xf numFmtId="39" fontId="32" fillId="0" borderId="21" xfId="2" applyNumberFormat="1" applyFont="1" applyBorder="1"/>
    <xf numFmtId="39" fontId="32" fillId="0" borderId="24" xfId="2" applyNumberFormat="1" applyFont="1" applyBorder="1"/>
    <xf numFmtId="0" fontId="6" fillId="0" borderId="0" xfId="4"/>
    <xf numFmtId="191" fontId="6" fillId="0" borderId="0" xfId="4" applyNumberFormat="1"/>
    <xf numFmtId="10" fontId="0" fillId="0" borderId="0" xfId="6" applyNumberFormat="1" applyFont="1"/>
    <xf numFmtId="37" fontId="6" fillId="0" borderId="0" xfId="4" applyNumberFormat="1"/>
    <xf numFmtId="10" fontId="6" fillId="0" borderId="0" xfId="4" applyNumberFormat="1"/>
    <xf numFmtId="0" fontId="7" fillId="0" borderId="6" xfId="2" applyBorder="1"/>
    <xf numFmtId="9" fontId="7" fillId="0" borderId="6" xfId="2" applyNumberFormat="1" applyBorder="1"/>
    <xf numFmtId="0" fontId="7" fillId="0" borderId="8" xfId="2" applyBorder="1"/>
    <xf numFmtId="0" fontId="28" fillId="0" borderId="33" xfId="2" applyFont="1" applyBorder="1"/>
    <xf numFmtId="174" fontId="31" fillId="0" borderId="34" xfId="2" applyNumberFormat="1" applyFont="1" applyBorder="1"/>
    <xf numFmtId="0" fontId="28" fillId="0" borderId="9" xfId="2" applyFont="1" applyBorder="1"/>
    <xf numFmtId="174" fontId="36" fillId="0" borderId="0" xfId="2" applyNumberFormat="1" applyFont="1"/>
    <xf numFmtId="174" fontId="36" fillId="0" borderId="10" xfId="2" applyNumberFormat="1" applyFont="1" applyBorder="1"/>
    <xf numFmtId="0" fontId="7" fillId="0" borderId="9" xfId="2" applyBorder="1"/>
    <xf numFmtId="0" fontId="39" fillId="0" borderId="0" xfId="2" applyFont="1" applyAlignment="1">
      <alignment horizontal="center"/>
    </xf>
    <xf numFmtId="14" fontId="7" fillId="0" borderId="0" xfId="2" applyNumberFormat="1"/>
    <xf numFmtId="14" fontId="6" fillId="0" borderId="0" xfId="1" applyNumberFormat="1" applyFont="1" applyBorder="1"/>
    <xf numFmtId="14" fontId="7" fillId="0" borderId="10" xfId="2" applyNumberFormat="1" applyBorder="1"/>
    <xf numFmtId="175" fontId="7" fillId="0" borderId="0" xfId="2" applyNumberFormat="1" applyAlignment="1">
      <alignment horizontal="center"/>
    </xf>
    <xf numFmtId="174" fontId="32" fillId="0" borderId="34" xfId="2" applyNumberFormat="1" applyFont="1" applyBorder="1"/>
    <xf numFmtId="0" fontId="38" fillId="0" borderId="0" xfId="2" applyFont="1"/>
    <xf numFmtId="174" fontId="38" fillId="0" borderId="0" xfId="2" applyNumberFormat="1" applyFont="1"/>
    <xf numFmtId="174" fontId="38" fillId="0" borderId="10" xfId="2" applyNumberFormat="1" applyFont="1" applyBorder="1"/>
    <xf numFmtId="0" fontId="7" fillId="0" borderId="10" xfId="2" applyBorder="1"/>
    <xf numFmtId="0" fontId="7" fillId="0" borderId="34" xfId="2" applyBorder="1"/>
    <xf numFmtId="175" fontId="30" fillId="0" borderId="0" xfId="2" applyNumberFormat="1" applyFont="1"/>
    <xf numFmtId="0" fontId="5" fillId="0" borderId="0" xfId="2" applyFont="1"/>
    <xf numFmtId="174" fontId="7" fillId="0" borderId="10" xfId="2" applyNumberFormat="1" applyBorder="1"/>
    <xf numFmtId="178" fontId="7" fillId="0" borderId="9" xfId="2" applyNumberFormat="1" applyBorder="1"/>
    <xf numFmtId="179" fontId="30" fillId="0" borderId="10" xfId="2" applyNumberFormat="1" applyFont="1" applyBorder="1"/>
    <xf numFmtId="174" fontId="32" fillId="0" borderId="0" xfId="2" applyNumberFormat="1" applyFont="1"/>
    <xf numFmtId="174" fontId="28" fillId="0" borderId="0" xfId="2" applyNumberFormat="1" applyFont="1"/>
    <xf numFmtId="0" fontId="30" fillId="0" borderId="0" xfId="2" applyFont="1"/>
    <xf numFmtId="174" fontId="28" fillId="0" borderId="10" xfId="2" applyNumberFormat="1" applyFont="1" applyBorder="1"/>
    <xf numFmtId="175" fontId="7" fillId="0" borderId="0" xfId="2" applyNumberFormat="1"/>
    <xf numFmtId="0" fontId="37" fillId="0" borderId="9" xfId="2" applyFont="1" applyBorder="1" applyAlignment="1">
      <alignment horizontal="left"/>
    </xf>
    <xf numFmtId="175" fontId="37" fillId="0" borderId="0" xfId="2" applyNumberFormat="1" applyFont="1"/>
    <xf numFmtId="0" fontId="37" fillId="0" borderId="0" xfId="2" applyFont="1" applyAlignment="1">
      <alignment horizontal="left"/>
    </xf>
    <xf numFmtId="175" fontId="37" fillId="0" borderId="10" xfId="2" applyNumberFormat="1" applyFont="1" applyBorder="1"/>
    <xf numFmtId="180" fontId="37" fillId="0" borderId="0" xfId="2" applyNumberFormat="1" applyFont="1"/>
    <xf numFmtId="179" fontId="37" fillId="0" borderId="0" xfId="2" applyNumberFormat="1" applyFont="1"/>
    <xf numFmtId="173" fontId="7" fillId="0" borderId="10" xfId="2" quotePrefix="1" applyNumberFormat="1" applyBorder="1"/>
    <xf numFmtId="0" fontId="35" fillId="0" borderId="0" xfId="2" applyFont="1" applyAlignment="1">
      <alignment horizontal="right"/>
    </xf>
    <xf numFmtId="37" fontId="7" fillId="0" borderId="0" xfId="2" applyNumberFormat="1" applyAlignment="1">
      <alignment horizontal="right"/>
    </xf>
    <xf numFmtId="0" fontId="28" fillId="0" borderId="11" xfId="2" applyFont="1" applyBorder="1"/>
    <xf numFmtId="185" fontId="28" fillId="0" borderId="12" xfId="2" applyNumberFormat="1" applyFont="1" applyBorder="1" applyAlignment="1">
      <alignment horizontal="right"/>
    </xf>
    <xf numFmtId="0" fontId="7" fillId="0" borderId="12" xfId="2" applyBorder="1"/>
    <xf numFmtId="174" fontId="32" fillId="0" borderId="12" xfId="2" applyNumberFormat="1" applyFont="1" applyBorder="1"/>
    <xf numFmtId="0" fontId="7" fillId="0" borderId="13" xfId="2" applyBorder="1"/>
    <xf numFmtId="0" fontId="37" fillId="0" borderId="9" xfId="2" applyFont="1" applyBorder="1"/>
    <xf numFmtId="0" fontId="7" fillId="0" borderId="9" xfId="2" applyBorder="1" applyAlignment="1">
      <alignment horizontal="left" indent="1"/>
    </xf>
    <xf numFmtId="0" fontId="5" fillId="0" borderId="9" xfId="2" applyFont="1" applyBorder="1"/>
    <xf numFmtId="0" fontId="7" fillId="0" borderId="9" xfId="2" applyBorder="1" applyAlignment="1">
      <alignment horizontal="left"/>
    </xf>
    <xf numFmtId="0" fontId="40" fillId="0" borderId="9" xfId="2" applyFont="1" applyBorder="1" applyAlignment="1">
      <alignment horizontal="left" vertical="center"/>
    </xf>
    <xf numFmtId="0" fontId="32" fillId="0" borderId="9" xfId="2" applyFont="1" applyBorder="1" applyAlignment="1">
      <alignment horizontal="left" indent="1"/>
    </xf>
    <xf numFmtId="0" fontId="7" fillId="0" borderId="9" xfId="2" applyBorder="1" applyAlignment="1">
      <alignment horizontal="left" vertical="center" indent="1"/>
    </xf>
    <xf numFmtId="0" fontId="28" fillId="0" borderId="9" xfId="2" applyFont="1" applyBorder="1" applyAlignment="1">
      <alignment vertical="center"/>
    </xf>
    <xf numFmtId="0" fontId="40" fillId="0" borderId="9" xfId="2" applyFont="1" applyBorder="1"/>
    <xf numFmtId="174" fontId="32" fillId="0" borderId="11" xfId="2" applyNumberFormat="1" applyFont="1" applyBorder="1"/>
    <xf numFmtId="186" fontId="7" fillId="0" borderId="12" xfId="2" applyNumberFormat="1" applyBorder="1" applyAlignment="1">
      <alignment horizontal="right"/>
    </xf>
    <xf numFmtId="175" fontId="7" fillId="0" borderId="12" xfId="2" applyNumberFormat="1" applyBorder="1" applyAlignment="1">
      <alignment horizontal="right"/>
    </xf>
    <xf numFmtId="0" fontId="37" fillId="0" borderId="12" xfId="2" applyFont="1" applyBorder="1" applyAlignment="1">
      <alignment horizontal="left"/>
    </xf>
    <xf numFmtId="179" fontId="37" fillId="0" borderId="12" xfId="2" applyNumberFormat="1" applyFont="1" applyBorder="1"/>
    <xf numFmtId="0" fontId="45" fillId="0" borderId="7" xfId="2" applyFont="1" applyBorder="1"/>
    <xf numFmtId="0" fontId="4" fillId="0" borderId="0" xfId="2" applyFont="1"/>
    <xf numFmtId="14" fontId="7" fillId="0" borderId="0" xfId="2" applyNumberFormat="1" applyAlignment="1">
      <alignment horizontal="center"/>
    </xf>
    <xf numFmtId="178" fontId="28" fillId="0" borderId="0" xfId="2" applyNumberFormat="1" applyFont="1"/>
    <xf numFmtId="175" fontId="44" fillId="0" borderId="0" xfId="2" applyNumberFormat="1" applyFont="1"/>
    <xf numFmtId="174" fontId="31" fillId="0" borderId="0" xfId="2" applyNumberFormat="1" applyFont="1"/>
    <xf numFmtId="37" fontId="32" fillId="0" borderId="0" xfId="2" applyNumberFormat="1" applyFont="1"/>
    <xf numFmtId="174" fontId="30" fillId="0" borderId="0" xfId="2" applyNumberFormat="1" applyFont="1"/>
    <xf numFmtId="37" fontId="30" fillId="0" borderId="0" xfId="2" applyNumberFormat="1" applyFont="1"/>
    <xf numFmtId="174" fontId="31" fillId="0" borderId="10" xfId="2" applyNumberFormat="1" applyFont="1" applyBorder="1"/>
    <xf numFmtId="174" fontId="32" fillId="0" borderId="10" xfId="2" applyNumberFormat="1" applyFont="1" applyBorder="1"/>
    <xf numFmtId="179" fontId="30" fillId="0" borderId="0" xfId="2" applyNumberFormat="1" applyFont="1"/>
    <xf numFmtId="175" fontId="7" fillId="0" borderId="10" xfId="2" applyNumberFormat="1" applyBorder="1"/>
    <xf numFmtId="173" fontId="7" fillId="0" borderId="0" xfId="2" quotePrefix="1" applyNumberFormat="1"/>
    <xf numFmtId="0" fontId="37" fillId="0" borderId="0" xfId="2" applyFont="1"/>
    <xf numFmtId="0" fontId="40" fillId="0" borderId="0" xfId="2" applyFont="1"/>
    <xf numFmtId="0" fontId="40" fillId="0" borderId="0" xfId="2" applyFont="1" applyAlignment="1">
      <alignment horizontal="right"/>
    </xf>
    <xf numFmtId="181" fontId="30" fillId="0" borderId="0" xfId="2" applyNumberFormat="1" applyFont="1"/>
    <xf numFmtId="181" fontId="30" fillId="0" borderId="10" xfId="2" applyNumberFormat="1" applyFont="1" applyBorder="1"/>
    <xf numFmtId="182" fontId="30" fillId="0" borderId="10" xfId="2" applyNumberFormat="1" applyFont="1" applyBorder="1"/>
    <xf numFmtId="37" fontId="31" fillId="0" borderId="0" xfId="2" applyNumberFormat="1" applyFont="1"/>
    <xf numFmtId="182" fontId="31" fillId="0" borderId="0" xfId="2" applyNumberFormat="1" applyFont="1" applyAlignment="1">
      <alignment horizontal="right"/>
    </xf>
    <xf numFmtId="0" fontId="28" fillId="0" borderId="0" xfId="2" applyFont="1" applyAlignment="1">
      <alignment horizontal="left"/>
    </xf>
    <xf numFmtId="183" fontId="28" fillId="0" borderId="0" xfId="2" applyNumberFormat="1" applyFont="1"/>
    <xf numFmtId="184" fontId="30" fillId="0" borderId="10" xfId="2" applyNumberFormat="1" applyFont="1" applyBorder="1"/>
    <xf numFmtId="14" fontId="6" fillId="0" borderId="10" xfId="1" applyNumberFormat="1" applyFont="1" applyBorder="1"/>
    <xf numFmtId="37" fontId="28" fillId="0" borderId="0" xfId="2" applyNumberFormat="1" applyFont="1"/>
    <xf numFmtId="174" fontId="7" fillId="0" borderId="0" xfId="2" applyNumberFormat="1" applyAlignment="1">
      <alignment horizontal="right"/>
    </xf>
    <xf numFmtId="178" fontId="7" fillId="0" borderId="0" xfId="2" applyNumberFormat="1"/>
    <xf numFmtId="185" fontId="28" fillId="0" borderId="0" xfId="2" applyNumberFormat="1" applyFont="1" applyAlignment="1">
      <alignment horizontal="right"/>
    </xf>
    <xf numFmtId="0" fontId="28" fillId="0" borderId="10" xfId="2" applyFont="1" applyBorder="1"/>
    <xf numFmtId="186" fontId="7" fillId="0" borderId="0" xfId="2" applyNumberFormat="1" applyAlignment="1">
      <alignment horizontal="right"/>
    </xf>
    <xf numFmtId="187" fontId="7" fillId="0" borderId="0" xfId="2" applyNumberFormat="1" applyAlignment="1">
      <alignment horizontal="right"/>
    </xf>
    <xf numFmtId="0" fontId="37" fillId="0" borderId="10" xfId="2" applyFont="1" applyBorder="1" applyAlignment="1">
      <alignment horizontal="left"/>
    </xf>
    <xf numFmtId="176" fontId="7" fillId="0" borderId="0" xfId="2" applyNumberFormat="1" applyAlignment="1">
      <alignment horizontal="center"/>
    </xf>
    <xf numFmtId="177" fontId="28" fillId="0" borderId="0" xfId="2" applyNumberFormat="1" applyFont="1"/>
    <xf numFmtId="173" fontId="30" fillId="0" borderId="0" xfId="2" applyNumberFormat="1" applyFont="1"/>
    <xf numFmtId="174" fontId="36" fillId="0" borderId="0" xfId="2" applyNumberFormat="1" applyFont="1" applyAlignment="1">
      <alignment horizontal="center"/>
    </xf>
    <xf numFmtId="37" fontId="7" fillId="0" borderId="0" xfId="2" applyNumberFormat="1"/>
    <xf numFmtId="37" fontId="37" fillId="0" borderId="0" xfId="2" applyNumberFormat="1" applyFont="1" applyAlignment="1">
      <alignment horizontal="right"/>
    </xf>
    <xf numFmtId="7" fontId="31" fillId="0" borderId="6" xfId="2" applyNumberFormat="1" applyFont="1" applyBorder="1" applyAlignment="1">
      <alignment horizontal="right"/>
    </xf>
    <xf numFmtId="174" fontId="36" fillId="0" borderId="10" xfId="2" applyNumberFormat="1" applyFont="1" applyBorder="1" applyAlignment="1">
      <alignment horizontal="center"/>
    </xf>
    <xf numFmtId="0" fontId="7" fillId="13" borderId="0" xfId="2" applyFill="1"/>
    <xf numFmtId="185" fontId="46" fillId="13" borderId="0" xfId="2" applyNumberFormat="1" applyFont="1" applyFill="1"/>
    <xf numFmtId="0" fontId="46" fillId="13" borderId="38" xfId="2" applyFont="1" applyFill="1" applyBorder="1"/>
    <xf numFmtId="0" fontId="7" fillId="13" borderId="38" xfId="2" applyFill="1" applyBorder="1"/>
    <xf numFmtId="0" fontId="7" fillId="13" borderId="39" xfId="2" applyFill="1" applyBorder="1"/>
    <xf numFmtId="185" fontId="46" fillId="13" borderId="39" xfId="2" applyNumberFormat="1" applyFont="1" applyFill="1" applyBorder="1"/>
    <xf numFmtId="0" fontId="46" fillId="13" borderId="40" xfId="2" applyFont="1" applyFill="1" applyBorder="1"/>
    <xf numFmtId="185" fontId="46" fillId="13" borderId="41" xfId="2" applyNumberFormat="1" applyFont="1" applyFill="1" applyBorder="1"/>
    <xf numFmtId="185" fontId="46" fillId="13" borderId="42" xfId="2" applyNumberFormat="1" applyFont="1" applyFill="1" applyBorder="1"/>
    <xf numFmtId="0" fontId="4" fillId="0" borderId="0" xfId="4" applyFont="1"/>
    <xf numFmtId="44" fontId="6" fillId="0" borderId="0" xfId="8" applyFont="1"/>
    <xf numFmtId="43" fontId="6" fillId="0" borderId="0" xfId="1" applyFont="1"/>
    <xf numFmtId="10" fontId="16" fillId="0" borderId="0" xfId="9" applyNumberFormat="1" applyFont="1"/>
    <xf numFmtId="167" fontId="7" fillId="0" borderId="0" xfId="9" applyNumberFormat="1" applyFont="1" applyAlignment="1">
      <alignment horizontal="right"/>
    </xf>
    <xf numFmtId="167" fontId="6" fillId="0" borderId="0" xfId="9" applyNumberFormat="1" applyFont="1"/>
    <xf numFmtId="0" fontId="3" fillId="0" borderId="0" xfId="4" applyFont="1"/>
    <xf numFmtId="166" fontId="22" fillId="14" borderId="12" xfId="0" applyNumberFormat="1" applyFont="1" applyFill="1" applyBorder="1" applyAlignment="1">
      <alignment horizontal="center"/>
    </xf>
    <xf numFmtId="166" fontId="22" fillId="14" borderId="13" xfId="0" applyNumberFormat="1" applyFont="1" applyFill="1" applyBorder="1" applyAlignment="1">
      <alignment horizontal="center"/>
    </xf>
    <xf numFmtId="166" fontId="22" fillId="14" borderId="0" xfId="0" applyNumberFormat="1" applyFont="1" applyFill="1" applyAlignment="1">
      <alignment horizontal="center"/>
    </xf>
    <xf numFmtId="166" fontId="22" fillId="14" borderId="10" xfId="0" applyNumberFormat="1" applyFont="1" applyFill="1" applyBorder="1" applyAlignment="1">
      <alignment horizontal="center"/>
    </xf>
    <xf numFmtId="0" fontId="2" fillId="0" borderId="0" xfId="4" applyFont="1"/>
    <xf numFmtId="43" fontId="0" fillId="0" borderId="0" xfId="1" applyFont="1"/>
    <xf numFmtId="43" fontId="6" fillId="0" borderId="0" xfId="4" applyNumberFormat="1"/>
    <xf numFmtId="10" fontId="6" fillId="0" borderId="0" xfId="9" applyNumberFormat="1" applyFont="1"/>
    <xf numFmtId="192" fontId="6" fillId="0" borderId="0" xfId="4" applyNumberFormat="1"/>
    <xf numFmtId="9" fontId="6" fillId="0" borderId="0" xfId="4" applyNumberFormat="1"/>
    <xf numFmtId="43" fontId="7" fillId="0" borderId="0" xfId="1" applyFont="1"/>
    <xf numFmtId="0" fontId="1" fillId="0" borderId="0" xfId="2" applyFont="1"/>
    <xf numFmtId="10" fontId="7" fillId="0" borderId="0" xfId="9" applyNumberFormat="1" applyFont="1"/>
    <xf numFmtId="193" fontId="7" fillId="0" borderId="0" xfId="1" applyNumberFormat="1" applyFont="1"/>
    <xf numFmtId="164" fontId="21" fillId="0" borderId="0" xfId="0" applyFont="1"/>
    <xf numFmtId="164" fontId="21" fillId="0" borderId="43" xfId="0" applyFont="1" applyBorder="1"/>
    <xf numFmtId="0" fontId="46" fillId="13" borderId="41" xfId="2" applyFont="1" applyFill="1" applyBorder="1" applyAlignment="1">
      <alignment horizontal="center"/>
    </xf>
    <xf numFmtId="0" fontId="46" fillId="13" borderId="42" xfId="2" applyFont="1" applyFill="1" applyBorder="1" applyAlignment="1">
      <alignment horizontal="center"/>
    </xf>
    <xf numFmtId="194" fontId="46" fillId="13" borderId="9" xfId="2" applyNumberFormat="1" applyFont="1" applyFill="1" applyBorder="1"/>
    <xf numFmtId="194" fontId="46" fillId="13" borderId="0" xfId="2" applyNumberFormat="1" applyFont="1" applyFill="1"/>
    <xf numFmtId="194" fontId="46" fillId="13" borderId="10" xfId="2" applyNumberFormat="1" applyFont="1" applyFill="1" applyBorder="1"/>
    <xf numFmtId="185" fontId="46" fillId="13" borderId="10" xfId="2" applyNumberFormat="1" applyFont="1" applyFill="1" applyBorder="1"/>
    <xf numFmtId="194" fontId="46" fillId="13" borderId="11" xfId="2" applyNumberFormat="1" applyFont="1" applyFill="1" applyBorder="1"/>
    <xf numFmtId="194" fontId="46" fillId="13" borderId="12" xfId="2" applyNumberFormat="1" applyFont="1" applyFill="1" applyBorder="1"/>
    <xf numFmtId="185" fontId="46" fillId="13" borderId="13" xfId="2" applyNumberFormat="1" applyFont="1" applyFill="1" applyBorder="1"/>
    <xf numFmtId="0" fontId="16" fillId="0" borderId="0" xfId="9" applyNumberFormat="1" applyFont="1"/>
    <xf numFmtId="164" fontId="18" fillId="4" borderId="2" xfId="0" applyFont="1" applyFill="1" applyBorder="1" applyAlignment="1">
      <alignment horizontal="center"/>
    </xf>
    <xf numFmtId="164" fontId="18" fillId="5" borderId="2" xfId="0" applyFont="1" applyFill="1" applyBorder="1" applyAlignment="1">
      <alignment horizontal="center" vertical="center"/>
    </xf>
    <xf numFmtId="164" fontId="19" fillId="2" borderId="1" xfId="0" applyFont="1" applyFill="1" applyBorder="1" applyAlignment="1">
      <alignment horizontal="left" vertical="top" wrapText="1"/>
    </xf>
    <xf numFmtId="164" fontId="19" fillId="2" borderId="8" xfId="0" applyFont="1" applyFill="1" applyBorder="1" applyAlignment="1">
      <alignment horizontal="left" vertical="top" wrapText="1"/>
    </xf>
    <xf numFmtId="164" fontId="19" fillId="2" borderId="14" xfId="0" applyFont="1" applyFill="1" applyBorder="1" applyAlignment="1">
      <alignment horizontal="left" vertical="top" wrapText="1"/>
    </xf>
    <xf numFmtId="164" fontId="19" fillId="2" borderId="10" xfId="0" applyFont="1" applyFill="1" applyBorder="1" applyAlignment="1">
      <alignment horizontal="left" vertical="top" wrapText="1"/>
    </xf>
    <xf numFmtId="164" fontId="19" fillId="2" borderId="2" xfId="0" applyFont="1" applyFill="1" applyBorder="1" applyAlignment="1">
      <alignment horizontal="center" vertical="top" wrapText="1"/>
    </xf>
    <xf numFmtId="164" fontId="19" fillId="2" borderId="15" xfId="0" applyFont="1" applyFill="1" applyBorder="1" applyAlignment="1">
      <alignment horizontal="left" vertical="top" wrapText="1"/>
    </xf>
    <xf numFmtId="164" fontId="18" fillId="5" borderId="15" xfId="0" applyFont="1" applyFill="1" applyBorder="1" applyAlignment="1">
      <alignment horizontal="center" vertical="center"/>
    </xf>
    <xf numFmtId="164" fontId="19" fillId="2" borderId="15" xfId="0" applyFont="1" applyFill="1" applyBorder="1" applyAlignment="1">
      <alignment horizontal="center" vertical="top" wrapText="1"/>
    </xf>
    <xf numFmtId="164" fontId="18" fillId="4" borderId="2" xfId="0" applyFont="1" applyFill="1" applyBorder="1" applyAlignment="1">
      <alignment horizontal="center" vertical="center"/>
    </xf>
    <xf numFmtId="164" fontId="18" fillId="5" borderId="1" xfId="0" applyFont="1" applyFill="1" applyBorder="1" applyAlignment="1">
      <alignment horizontal="center" vertical="center"/>
    </xf>
    <xf numFmtId="164" fontId="19" fillId="2" borderId="2" xfId="0" applyFont="1" applyFill="1" applyBorder="1" applyAlignment="1">
      <alignment horizontal="left" vertical="top" wrapText="1"/>
    </xf>
    <xf numFmtId="165" fontId="13" fillId="2" borderId="13" xfId="0" applyNumberFormat="1" applyFont="1" applyFill="1" applyBorder="1" applyAlignment="1">
      <alignment horizontal="center"/>
    </xf>
    <xf numFmtId="164" fontId="8" fillId="2" borderId="1" xfId="0" applyFont="1" applyFill="1" applyBorder="1" applyAlignment="1">
      <alignment horizontal="center" vertical="center"/>
    </xf>
    <xf numFmtId="164" fontId="8" fillId="0" borderId="2" xfId="0" applyFont="1" applyBorder="1" applyAlignment="1">
      <alignment horizontal="left"/>
    </xf>
    <xf numFmtId="164" fontId="11" fillId="2" borderId="5" xfId="0" applyFont="1" applyFill="1" applyBorder="1" applyAlignment="1">
      <alignment horizontal="center" vertical="center"/>
    </xf>
    <xf numFmtId="164" fontId="8" fillId="0" borderId="2" xfId="0" applyFont="1" applyBorder="1" applyAlignment="1">
      <alignment horizontal="center" vertical="center"/>
    </xf>
    <xf numFmtId="165" fontId="13" fillId="2" borderId="8" xfId="0" applyNumberFormat="1" applyFont="1" applyFill="1" applyBorder="1" applyAlignment="1">
      <alignment horizontal="center"/>
    </xf>
    <xf numFmtId="0" fontId="36" fillId="0" borderId="0" xfId="2" applyFont="1" applyAlignment="1">
      <alignment horizontal="center"/>
    </xf>
    <xf numFmtId="0" fontId="46" fillId="13" borderId="0" xfId="2" applyFont="1" applyFill="1" applyAlignment="1">
      <alignment horizontal="center"/>
    </xf>
    <xf numFmtId="0" fontId="46" fillId="13" borderId="39" xfId="2" applyFont="1" applyFill="1" applyBorder="1" applyAlignment="1">
      <alignment horizontal="center"/>
    </xf>
    <xf numFmtId="0" fontId="46" fillId="13" borderId="35" xfId="2" applyFont="1" applyFill="1" applyBorder="1" applyAlignment="1">
      <alignment horizontal="center"/>
    </xf>
    <xf numFmtId="0" fontId="46" fillId="13" borderId="36" xfId="2" applyFont="1" applyFill="1" applyBorder="1" applyAlignment="1">
      <alignment horizontal="center"/>
    </xf>
    <xf numFmtId="0" fontId="46" fillId="13" borderId="37" xfId="2" applyFont="1" applyFill="1" applyBorder="1" applyAlignment="1">
      <alignment horizontal="center"/>
    </xf>
    <xf numFmtId="194" fontId="46" fillId="13" borderId="44" xfId="2" applyNumberFormat="1" applyFont="1" applyFill="1" applyBorder="1" applyAlignment="1">
      <alignment horizontal="center" vertical="center"/>
    </xf>
    <xf numFmtId="194" fontId="46" fillId="13" borderId="45" xfId="2" applyNumberFormat="1" applyFont="1" applyFill="1" applyBorder="1" applyAlignment="1">
      <alignment horizontal="center" vertical="center"/>
    </xf>
    <xf numFmtId="194" fontId="46" fillId="13" borderId="46" xfId="2" applyNumberFormat="1" applyFont="1" applyFill="1" applyBorder="1" applyAlignment="1">
      <alignment horizontal="center" vertical="center"/>
    </xf>
  </cellXfs>
  <cellStyles count="10">
    <cellStyle name="Comma" xfId="1" builtinId="3"/>
    <cellStyle name="Comma 2" xfId="7" xr:uid="{33088C4B-492E-41A8-92D4-55CB9C0E95BF}"/>
    <cellStyle name="Currency" xfId="8" builtinId="4"/>
    <cellStyle name="Currency 2" xfId="5" xr:uid="{2E4E90D4-3C48-4390-8EB4-5FCD76C37844}"/>
    <cellStyle name="Hyperlink 2" xfId="3" xr:uid="{4C82E6F3-EF06-418A-9876-C3F9C580FCA2}"/>
    <cellStyle name="Normal" xfId="0" builtinId="0"/>
    <cellStyle name="Normal 2" xfId="2" xr:uid="{5120D642-8F11-4E8F-B41E-0B4077EA30D7}"/>
    <cellStyle name="Normal 3" xfId="4" xr:uid="{147B9A88-49E2-4CEB-8C1B-0F5F97ED4B56}"/>
    <cellStyle name="Percent" xfId="9" builtinId="5"/>
    <cellStyle name="Percent 2" xfId="6" xr:uid="{7B2CCF7D-F82F-4F0B-9802-21FF70C7F7E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C5E0B4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5D7DE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1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DCF Equity Valuation Range </a:t>
            </a:r>
          </a:p>
        </c:rich>
      </c:tx>
      <c:layout>
        <c:manualLayout>
          <c:xMode val="edge"/>
          <c:yMode val="edge"/>
          <c:x val="0.31291626892699836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'DCF 1-Pager'!$B$152:$B$154</c:f>
              <c:strCache>
                <c:ptCount val="3"/>
                <c:pt idx="0">
                  <c:v>DCF Value at 12.5x-14.5x Exit EBITDA Range at 6.0% WACC</c:v>
                </c:pt>
                <c:pt idx="1">
                  <c:v>DCF Value at 2.0%-4.0% Perpetuity Range at 6.0% WACC</c:v>
                </c:pt>
                <c:pt idx="2">
                  <c:v>52 Week Market High/Low</c:v>
                </c:pt>
              </c:strCache>
            </c:strRef>
          </c:cat>
          <c:val>
            <c:numRef>
              <c:f>'DCF 1-Pager'!$C$152:$C$154</c:f>
              <c:numCache>
                <c:formatCode>#,##0.00_);\(#,##0.00\)</c:formatCode>
                <c:ptCount val="3"/>
                <c:pt idx="0">
                  <c:v>-1.8128026589484418E-2</c:v>
                </c:pt>
                <c:pt idx="1">
                  <c:v>-1.8128026589484418E-2</c:v>
                </c:pt>
                <c:pt idx="2">
                  <c:v>169.5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E-47E8-9FDC-CF4EF4157896}"/>
            </c:ext>
          </c:extLst>
        </c:ser>
        <c:ser>
          <c:idx val="1"/>
          <c:order val="1"/>
          <c:invertIfNegative val="0"/>
          <c:cat>
            <c:strRef>
              <c:f>'DCF 1-Pager'!$B$152:$B$154</c:f>
              <c:strCache>
                <c:ptCount val="3"/>
                <c:pt idx="0">
                  <c:v>DCF Value at 12.5x-14.5x Exit EBITDA Range at 6.0% WACC</c:v>
                </c:pt>
                <c:pt idx="1">
                  <c:v>DCF Value at 2.0%-4.0% Perpetuity Range at 6.0% WACC</c:v>
                </c:pt>
                <c:pt idx="2">
                  <c:v>52 Week Market High/Low</c:v>
                </c:pt>
              </c:strCache>
            </c:strRef>
          </c:cat>
          <c:val>
            <c:numRef>
              <c:f>'DCF 1-Pager'!$D$152:$D$154</c:f>
              <c:numCache>
                <c:formatCode>#,##0.00_);\(#,##0.00\)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158.35000000000002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CE-47E8-9FDC-CF4EF4157896}"/>
            </c:ext>
          </c:extLst>
        </c:ser>
        <c:ser>
          <c:idx val="2"/>
          <c:order val="2"/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'DCF 1-Pager'!$B$152:$B$154</c:f>
              <c:strCache>
                <c:ptCount val="3"/>
                <c:pt idx="0">
                  <c:v>DCF Value at 12.5x-14.5x Exit EBITDA Range at 6.0% WACC</c:v>
                </c:pt>
                <c:pt idx="1">
                  <c:v>DCF Value at 2.0%-4.0% Perpetuity Range at 6.0% WACC</c:v>
                </c:pt>
                <c:pt idx="2">
                  <c:v>52 Week Market High/Low</c:v>
                </c:pt>
              </c:strCache>
            </c:strRef>
          </c:cat>
          <c:val>
            <c:numRef>
              <c:f>'DCF 1-Pager'!$E$152:$E$154</c:f>
              <c:numCache>
                <c:formatCode>#,##0.00_);\(#,##0.00\)</c:formatCode>
                <c:ptCount val="3"/>
                <c:pt idx="0">
                  <c:v>-1.8128026589484418E-2</c:v>
                </c:pt>
                <c:pt idx="1">
                  <c:v>-1.8128026589484418E-2</c:v>
                </c:pt>
                <c:pt idx="2">
                  <c:v>327.85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CE-47E8-9FDC-CF4EF4157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39680"/>
        <c:axId val="99641216"/>
      </c:barChart>
      <c:catAx>
        <c:axId val="99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41216"/>
        <c:crosses val="autoZero"/>
        <c:auto val="1"/>
        <c:lblAlgn val="ctr"/>
        <c:lblOffset val="100"/>
        <c:noMultiLvlLbl val="0"/>
      </c:catAx>
      <c:valAx>
        <c:axId val="99641216"/>
        <c:scaling>
          <c:orientation val="minMax"/>
          <c:max val="400"/>
          <c:min val="100"/>
        </c:scaling>
        <c:delete val="0"/>
        <c:axPos val="l"/>
        <c:numFmt formatCode="#,##0.00_);\(#,##0.00\)" sourceLinked="1"/>
        <c:majorTickMark val="out"/>
        <c:minorTickMark val="none"/>
        <c:tickLblPos val="nextTo"/>
        <c:crossAx val="996396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LTM EBITDA Multiple Range</a:t>
            </a:r>
          </a:p>
        </c:rich>
      </c:tx>
      <c:layout>
        <c:manualLayout>
          <c:xMode val="edge"/>
          <c:yMode val="edge"/>
          <c:x val="0.31291626892699836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</c:spPr>
          <c:invertIfNegative val="0"/>
          <c:dLbls>
            <c:numFmt formatCode="#,##0.0\x;\-#,##0.0\x" sourceLinked="0"/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'DCF 1-Pager'!$G$152:$G$154</c:f>
              <c:strCache>
                <c:ptCount val="3"/>
                <c:pt idx="0">
                  <c:v>LTM EBITDA Purchase Multiple at 2.0%-4.0% Perpetuity Growth at 6.0% WACC</c:v>
                </c:pt>
                <c:pt idx="1">
                  <c:v>#DIV/0!</c:v>
                </c:pt>
                <c:pt idx="2">
                  <c:v>LTM EBITDA Purchase Multiple at 5.0%-7.0% WACC at 13.5x Exit EBITDA</c:v>
                </c:pt>
              </c:strCache>
            </c:strRef>
          </c:cat>
          <c:val>
            <c:numRef>
              <c:f>'DCF 1-Pager'!$O$152:$O$154</c:f>
              <c:numCache>
                <c:formatCode>#,##0.00_);\(#,##0.00\)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1-4739-9563-FADE45D1A6D9}"/>
            </c:ext>
          </c:extLst>
        </c:ser>
        <c:ser>
          <c:idx val="1"/>
          <c:order val="1"/>
          <c:spPr>
            <a:solidFill>
              <a:schemeClr val="tx2"/>
            </a:solidFill>
          </c:spPr>
          <c:invertIfNegative val="0"/>
          <c:cat>
            <c:strRef>
              <c:f>'DCF 1-Pager'!$G$152:$G$154</c:f>
              <c:strCache>
                <c:ptCount val="3"/>
                <c:pt idx="0">
                  <c:v>LTM EBITDA Purchase Multiple at 2.0%-4.0% Perpetuity Growth at 6.0% WACC</c:v>
                </c:pt>
                <c:pt idx="1">
                  <c:v>#DIV/0!</c:v>
                </c:pt>
                <c:pt idx="2">
                  <c:v>LTM EBITDA Purchase Multiple at 5.0%-7.0% WACC at 13.5x Exit EBITDA</c:v>
                </c:pt>
              </c:strCache>
            </c:strRef>
          </c:cat>
          <c:val>
            <c:numRef>
              <c:f>'DCF 1-Pager'!$P$152:$P$154</c:f>
              <c:numCache>
                <c:formatCode>#,##0.00_);\(#,##0.00\)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F1-4739-9563-FADE45D1A6D9}"/>
            </c:ext>
          </c:extLst>
        </c:ser>
        <c:ser>
          <c:idx val="2"/>
          <c:order val="2"/>
          <c:spPr>
            <a:noFill/>
          </c:spPr>
          <c:invertIfNegative val="0"/>
          <c:dLbls>
            <c:numFmt formatCode="#,##0.0\x;\-#,##0.0\x" sourceLinked="0"/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'DCF 1-Pager'!$G$152:$G$154</c:f>
              <c:strCache>
                <c:ptCount val="3"/>
                <c:pt idx="0">
                  <c:v>LTM EBITDA Purchase Multiple at 2.0%-4.0% Perpetuity Growth at 6.0% WACC</c:v>
                </c:pt>
                <c:pt idx="1">
                  <c:v>#DIV/0!</c:v>
                </c:pt>
                <c:pt idx="2">
                  <c:v>LTM EBITDA Purchase Multiple at 5.0%-7.0% WACC at 13.5x Exit EBITDA</c:v>
                </c:pt>
              </c:strCache>
            </c:strRef>
          </c:cat>
          <c:val>
            <c:numRef>
              <c:f>'DCF 1-Pager'!$Q$152:$Q$154</c:f>
              <c:numCache>
                <c:formatCode>#,##0.00_);\(#,##0.00\)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F1-4739-9563-FADE45D1A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39680"/>
        <c:axId val="99641216"/>
      </c:barChart>
      <c:catAx>
        <c:axId val="99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41216"/>
        <c:crosses val="autoZero"/>
        <c:auto val="1"/>
        <c:lblAlgn val="ctr"/>
        <c:lblOffset val="100"/>
        <c:noMultiLvlLbl val="0"/>
      </c:catAx>
      <c:valAx>
        <c:axId val="99641216"/>
        <c:scaling>
          <c:orientation val="minMax"/>
          <c:max val="20"/>
          <c:min val="10"/>
        </c:scaling>
        <c:delete val="0"/>
        <c:axPos val="l"/>
        <c:numFmt formatCode="#,##0.0\x;\-#,##0.0\x" sourceLinked="0"/>
        <c:majorTickMark val="out"/>
        <c:minorTickMark val="none"/>
        <c:tickLblPos val="nextTo"/>
        <c:crossAx val="996396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 Share Value As of Valuation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'DCF 1-Pager'!$M$5</c:f>
              <c:strCache>
                <c:ptCount val="1"/>
                <c:pt idx="0">
                  <c:v>Perpetual Growth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'DCF 1-Pager'!$L$7:$L$8</c:f>
              <c:strCache>
                <c:ptCount val="2"/>
                <c:pt idx="0">
                  <c:v>FCFF</c:v>
                </c:pt>
                <c:pt idx="1">
                  <c:v>FCFE</c:v>
                </c:pt>
              </c:strCache>
            </c:strRef>
          </c:cat>
          <c:val>
            <c:numRef>
              <c:f>'DCF 1-Pager'!$M$7:$M$8</c:f>
              <c:numCache>
                <c:formatCode>"$"#,##0.00_);\("$"#,##0.00\);@_)</c:formatCode>
                <c:ptCount val="2"/>
                <c:pt idx="0">
                  <c:v>-1.8128026589484418E-2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1-419A-8A48-3728166263D3}"/>
            </c:ext>
          </c:extLst>
        </c:ser>
        <c:ser>
          <c:idx val="1"/>
          <c:order val="1"/>
          <c:tx>
            <c:strRef>
              <c:f>'DCF 1-Pager'!$N$5</c:f>
              <c:strCache>
                <c:ptCount val="1"/>
                <c:pt idx="0">
                  <c:v> Multiple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'DCF 1-Pager'!$L$7:$L$8</c:f>
              <c:strCache>
                <c:ptCount val="2"/>
                <c:pt idx="0">
                  <c:v>FCFF</c:v>
                </c:pt>
                <c:pt idx="1">
                  <c:v>FCFE</c:v>
                </c:pt>
              </c:strCache>
            </c:strRef>
          </c:cat>
          <c:val>
            <c:numRef>
              <c:f>'DCF 1-Pager'!$N$7:$N$8</c:f>
              <c:numCache>
                <c:formatCode>"$"#,##0.00_);\("$"#,##0.00\);@_)</c:formatCode>
                <c:ptCount val="2"/>
                <c:pt idx="0">
                  <c:v>-1.8128026589484418E-2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A1-419A-8A48-3728166263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710525568"/>
        <c:axId val="1721249200"/>
      </c:barChart>
      <c:catAx>
        <c:axId val="171052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249200"/>
        <c:crosses val="autoZero"/>
        <c:auto val="1"/>
        <c:lblAlgn val="ctr"/>
        <c:lblOffset val="100"/>
        <c:noMultiLvlLbl val="0"/>
      </c:catAx>
      <c:valAx>
        <c:axId val="1721249200"/>
        <c:scaling>
          <c:orientation val="minMax"/>
        </c:scaling>
        <c:delete val="1"/>
        <c:axPos val="l"/>
        <c:numFmt formatCode="&quot;$&quot;#,##0.00_);\(&quot;$&quot;#,##0.00\);@_)" sourceLinked="1"/>
        <c:majorTickMark val="none"/>
        <c:minorTickMark val="none"/>
        <c:tickLblPos val="nextTo"/>
        <c:crossAx val="171052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B0F0"/>
    </a:solidFill>
    <a:ln w="5715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ysClr val="windowText" lastClr="000000"/>
                  </a:solidFill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 of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FCFF - Perpetuity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'DCF 1-Pager'!$M$7</c:f>
              <c:numCache>
                <c:formatCode>"$"#,##0.00_);\("$"#,##0.00\);@_)</c:formatCode>
                <c:ptCount val="1"/>
                <c:pt idx="0">
                  <c:v>-1.8128026589484418E-2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D-4FF2-947A-62095FB9A9E7}"/>
            </c:ext>
          </c:extLst>
        </c:ser>
        <c:ser>
          <c:idx val="1"/>
          <c:order val="1"/>
          <c:tx>
            <c:v>FCFF - EV/EBITDA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'DCF 1-Pager'!$N$7</c:f>
              <c:numCache>
                <c:formatCode>"$"#,##0.00_);\("$"#,##0.00\);@_)</c:formatCode>
                <c:ptCount val="1"/>
                <c:pt idx="0">
                  <c:v>-1.8128026589484418E-2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7D-4FF2-947A-62095FB9A9E7}"/>
            </c:ext>
          </c:extLst>
        </c:ser>
        <c:ser>
          <c:idx val="2"/>
          <c:order val="2"/>
          <c:tx>
            <c:v>FCFE - Perpetuity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'DCF 1-Pager'!$M$8</c:f>
              <c:numCache>
                <c:formatCode>"$"#,##0.00_);\("$"#,##0.00\);@_)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7D-4FF2-947A-62095FB9A9E7}"/>
            </c:ext>
          </c:extLst>
        </c:ser>
        <c:ser>
          <c:idx val="3"/>
          <c:order val="3"/>
          <c:tx>
            <c:v>FCFE - P/E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'DCF 1-Pager'!$N$8</c:f>
              <c:numCache>
                <c:formatCode>"$"#,##0.00_);\("$"#,##0.00\);@_)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7D-4FF2-947A-62095FB9A9E7}"/>
            </c:ext>
          </c:extLst>
        </c:ser>
        <c:ser>
          <c:idx val="4"/>
          <c:order val="4"/>
          <c:tx>
            <c:v>Relative Value - P/E ratio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'DCF 1-Pager'!$V$5</c:f>
              <c:numCache>
                <c:formatCode>"$"#,##0.00_);\("$"#,##0.00\);@_)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7D-4FF2-947A-62095FB9A9E7}"/>
            </c:ext>
          </c:extLst>
        </c:ser>
        <c:ser>
          <c:idx val="5"/>
          <c:order val="5"/>
          <c:tx>
            <c:v>Relative Value - EV/EBITDA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'DCF 1-Pager'!$V$6</c:f>
              <c:numCache>
                <c:formatCode>"$"#,##0.00_);\("$"#,##0.00\);@_)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7D-4FF2-947A-62095FB9A9E7}"/>
            </c:ext>
          </c:extLst>
        </c:ser>
        <c:ser>
          <c:idx val="6"/>
          <c:order val="6"/>
          <c:tx>
            <c:v>Relative Value - EV/Sales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'DCF 1-Pager'!$V$7</c:f>
              <c:numCache>
                <c:formatCode>"$"#,##0.00_);\("$"#,##0.00\);@_)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7D-4FF2-947A-62095FB9A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425952"/>
        <c:axId val="1681231504"/>
      </c:barChart>
      <c:catAx>
        <c:axId val="1648425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solidFill>
                        <a:sysClr val="windowText" lastClr="000000"/>
                      </a:solidFill>
                    </a:ln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Estimation</a:t>
                </a:r>
                <a:r>
                  <a:rPr lang="en-US" baseline="0"/>
                  <a:t> Method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solidFill>
                      <a:sysClr val="windowText" lastClr="000000"/>
                    </a:solidFill>
                  </a:ln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ysClr val="windowText" lastClr="000000"/>
                  </a:solidFill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231504"/>
        <c:crosses val="autoZero"/>
        <c:auto val="1"/>
        <c:lblAlgn val="ctr"/>
        <c:lblOffset val="100"/>
        <c:noMultiLvlLbl val="0"/>
      </c:catAx>
      <c:valAx>
        <c:axId val="168123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solidFill>
                        <a:sysClr val="windowText" lastClr="000000"/>
                      </a:solidFill>
                    </a:ln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Estimate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solidFill>
                      <a:sysClr val="windowText" lastClr="000000"/>
                    </a:solidFill>
                  </a:ln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);\(&quot;$&quot;#,##0.00\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ysClr val="windowText" lastClr="000000"/>
                  </a:solidFill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42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B0F0"/>
    </a:solidFill>
    <a:ln w="57150" cap="flat" cmpd="sng" algn="ctr">
      <a:solidFill>
        <a:srgbClr val="0070C0"/>
      </a:solidFill>
      <a:round/>
    </a:ln>
    <a:effectLst/>
  </c:spPr>
  <c:txPr>
    <a:bodyPr/>
    <a:lstStyle/>
    <a:p>
      <a:pPr>
        <a:defRPr>
          <a:ln>
            <a:solidFill>
              <a:sysClr val="windowText" lastClr="000000"/>
            </a:solidFill>
          </a:ln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257040</xdr:colOff>
      <xdr:row>15</xdr:row>
      <xdr:rowOff>38160</xdr:rowOff>
    </xdr:from>
    <xdr:to>
      <xdr:col>30</xdr:col>
      <xdr:colOff>400320</xdr:colOff>
      <xdr:row>27</xdr:row>
      <xdr:rowOff>199800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889120" y="3438720"/>
          <a:ext cx="8029800" cy="3018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237960</xdr:colOff>
      <xdr:row>0</xdr:row>
      <xdr:rowOff>200160</xdr:rowOff>
    </xdr:from>
    <xdr:to>
      <xdr:col>26</xdr:col>
      <xdr:colOff>552960</xdr:colOff>
      <xdr:row>14</xdr:row>
      <xdr:rowOff>171360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4583960" y="200160"/>
          <a:ext cx="8858880" cy="313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247680</xdr:colOff>
      <xdr:row>25</xdr:row>
      <xdr:rowOff>0</xdr:rowOff>
    </xdr:from>
    <xdr:to>
      <xdr:col>24</xdr:col>
      <xdr:colOff>19440</xdr:colOff>
      <xdr:row>59</xdr:row>
      <xdr:rowOff>79920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4593680" y="5781600"/>
          <a:ext cx="7001280" cy="601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6</xdr:col>
      <xdr:colOff>619200</xdr:colOff>
      <xdr:row>66</xdr:row>
      <xdr:rowOff>127080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0" y="9124920"/>
          <a:ext cx="6829560" cy="3784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53578</xdr:colOff>
      <xdr:row>130</xdr:row>
      <xdr:rowOff>149424</xdr:rowOff>
    </xdr:from>
    <xdr:to>
      <xdr:col>4</xdr:col>
      <xdr:colOff>654844</xdr:colOff>
      <xdr:row>149</xdr:row>
      <xdr:rowOff>53578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BD4277-5DB9-4B06-95FB-4221493EA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47228</xdr:colOff>
      <xdr:row>130</xdr:row>
      <xdr:rowOff>149424</xdr:rowOff>
    </xdr:from>
    <xdr:to>
      <xdr:col>15</xdr:col>
      <xdr:colOff>657225</xdr:colOff>
      <xdr:row>149</xdr:row>
      <xdr:rowOff>47228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1DA036-3C48-42BE-9AB0-2258C9A85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158892</xdr:colOff>
      <xdr:row>56</xdr:row>
      <xdr:rowOff>24873</xdr:rowOff>
    </xdr:from>
    <xdr:to>
      <xdr:col>1</xdr:col>
      <xdr:colOff>161052</xdr:colOff>
      <xdr:row>56</xdr:row>
      <xdr:rowOff>39633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B4FCA36-5FB0-476D-A46A-669E09A86C45}"/>
                </a:ext>
              </a:extLst>
            </xdr14:cNvPr>
            <xdr14:cNvContentPartPr/>
          </xdr14:nvContentPartPr>
          <xdr14:nvPr macro=""/>
          <xdr14:xfrm>
            <a:off x="400680" y="10004142"/>
            <a:ext cx="2160" cy="147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B41F823-46A7-41E1-8EF3-D118193619F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91680" y="9995502"/>
              <a:ext cx="19800" cy="324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452437</xdr:colOff>
      <xdr:row>9</xdr:row>
      <xdr:rowOff>185737</xdr:rowOff>
    </xdr:from>
    <xdr:to>
      <xdr:col>14</xdr:col>
      <xdr:colOff>347662</xdr:colOff>
      <xdr:row>23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66F6DC-B584-7F0F-6825-FF3BFB7FE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81834</xdr:colOff>
      <xdr:row>9</xdr:row>
      <xdr:rowOff>50441</xdr:rowOff>
    </xdr:from>
    <xdr:to>
      <xdr:col>19</xdr:col>
      <xdr:colOff>697604</xdr:colOff>
      <xdr:row>23</xdr:row>
      <xdr:rowOff>147569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4A5CD50-793E-FB5A-6E7A-FC8F09F46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1T19:49:31.7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41 4852,'1'-4'3528,"0"-13"-1279,-3 1-7071,-2 13 3607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Payne, Janet" id="{6D26A2C0-1D2D-40D3-B9B8-5167BB745C79}" userId="S::jp40@txstate.edu::bc666613-0d30-4cd9-a6bf-b1b77c3b712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5" dT="2026-09-23T18:44:30.07" personId="{6D26A2C0-1D2D-40D3-B9B8-5167BB745C79}" id="{393D2D8D-C9A7-4177-8422-3094C59B454F}">
    <text xml:space="preserve">Earnings
</text>
  </threadedComment>
  <threadedComment ref="R6" dT="2026-09-23T18:47:07.46" personId="{6D26A2C0-1D2D-40D3-B9B8-5167BB745C79}" id="{9609C2F6-1575-4E2F-9764-F24D3E16E5A1}">
    <text xml:space="preserve">EBITDA
</text>
  </threadedComment>
  <threadedComment ref="R7" dT="2026-09-23T18:46:55.07" personId="{6D26A2C0-1D2D-40D3-B9B8-5167BB745C79}" id="{CB2A414E-8A34-4121-AAC4-9C39A59D3941}">
    <text>Sales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9"/>
  <sheetViews>
    <sheetView showGridLines="0" zoomScale="90" zoomScaleNormal="90" workbookViewId="0">
      <selection activeCell="C4" sqref="C4"/>
    </sheetView>
  </sheetViews>
  <sheetFormatPr baseColWidth="10" defaultColWidth="8.6640625" defaultRowHeight="14" x14ac:dyDescent="0.2"/>
  <cols>
    <col min="1" max="1" width="21.6640625" style="1" customWidth="1"/>
    <col min="2" max="2" width="14.6640625" style="1" customWidth="1"/>
    <col min="3" max="3" width="12" style="1" customWidth="1"/>
    <col min="4" max="4" width="2.1640625" style="1" customWidth="1"/>
    <col min="5" max="5" width="16.1640625" style="1" customWidth="1"/>
    <col min="6" max="7" width="14.5" style="1" customWidth="1"/>
    <col min="8" max="8" width="28.83203125" style="1" customWidth="1"/>
    <col min="9" max="9" width="11.6640625" style="1" customWidth="1"/>
    <col min="10" max="10" width="2.1640625" style="1" customWidth="1"/>
    <col min="11" max="11" width="23" style="1" customWidth="1"/>
    <col min="12" max="13" width="13.1640625" style="1" customWidth="1"/>
  </cols>
  <sheetData>
    <row r="1" spans="1:18" ht="28.5" customHeight="1" x14ac:dyDescent="0.35">
      <c r="A1" s="393" t="s">
        <v>279</v>
      </c>
      <c r="B1" s="393"/>
      <c r="C1" s="393"/>
      <c r="D1" s="393"/>
      <c r="E1" s="393"/>
      <c r="F1" s="393"/>
      <c r="G1" s="393"/>
      <c r="H1" s="394"/>
      <c r="I1" s="394"/>
      <c r="J1" s="394"/>
      <c r="K1" s="394"/>
      <c r="L1" s="394"/>
      <c r="M1" s="394"/>
    </row>
    <row r="2" spans="1:18" ht="21.75" customHeight="1" x14ac:dyDescent="0.2">
      <c r="A2" s="2" t="s">
        <v>0</v>
      </c>
      <c r="B2" s="3"/>
      <c r="C2" s="4" t="s">
        <v>280</v>
      </c>
      <c r="D2" s="5"/>
      <c r="E2" s="6" t="s">
        <v>1</v>
      </c>
      <c r="F2" s="395" t="s">
        <v>281</v>
      </c>
      <c r="G2" s="395"/>
      <c r="H2" s="396" t="s">
        <v>2</v>
      </c>
      <c r="I2" s="396"/>
      <c r="J2" s="396"/>
      <c r="K2" s="396"/>
      <c r="L2" s="396"/>
      <c r="M2" s="396"/>
    </row>
    <row r="3" spans="1:18" ht="15" customHeight="1" x14ac:dyDescent="0.2">
      <c r="A3" s="7" t="s">
        <v>3</v>
      </c>
      <c r="B3" s="8"/>
      <c r="C3" s="9">
        <v>159.46</v>
      </c>
      <c r="D3" s="10"/>
      <c r="E3" s="6" t="s">
        <v>4</v>
      </c>
      <c r="F3" s="397" t="s">
        <v>282</v>
      </c>
      <c r="G3" s="397"/>
      <c r="H3" s="11" t="s">
        <v>5</v>
      </c>
      <c r="I3" s="12" t="s">
        <v>283</v>
      </c>
      <c r="K3" s="11" t="s">
        <v>6</v>
      </c>
      <c r="M3" s="13">
        <f>C3*'Detail Data'!E9</f>
        <v>32434.164000000004</v>
      </c>
    </row>
    <row r="4" spans="1:18" ht="15" customHeight="1" x14ac:dyDescent="0.2">
      <c r="A4" s="14" t="s">
        <v>7</v>
      </c>
      <c r="B4" s="15"/>
      <c r="C4" s="16">
        <v>46299</v>
      </c>
      <c r="D4" s="17"/>
      <c r="E4" s="18" t="s">
        <v>8</v>
      </c>
      <c r="F4" s="392" t="s">
        <v>284</v>
      </c>
      <c r="G4" s="392"/>
      <c r="H4" s="19" t="s">
        <v>9</v>
      </c>
      <c r="I4" s="20">
        <v>2025</v>
      </c>
      <c r="K4" s="21" t="s">
        <v>10</v>
      </c>
      <c r="L4" s="22"/>
      <c r="M4" s="23">
        <f>M3+'Detail Data'!E34-'Detail Data'!E28</f>
        <v>35676.364000000001</v>
      </c>
    </row>
    <row r="5" spans="1:18" ht="17.25" customHeight="1" x14ac:dyDescent="0.2">
      <c r="A5" s="24"/>
      <c r="B5" s="25"/>
      <c r="C5" s="26" t="s">
        <v>11</v>
      </c>
      <c r="D5" s="10"/>
      <c r="E5" s="27" t="s">
        <v>12</v>
      </c>
      <c r="F5" s="28" t="s">
        <v>13</v>
      </c>
      <c r="G5" s="29" t="s">
        <v>14</v>
      </c>
      <c r="H5" s="380" t="s">
        <v>15</v>
      </c>
      <c r="I5" s="380"/>
      <c r="K5" s="390" t="s">
        <v>16</v>
      </c>
      <c r="L5" s="390"/>
      <c r="M5" s="390"/>
    </row>
    <row r="6" spans="1:18" ht="15" customHeight="1" x14ac:dyDescent="0.2">
      <c r="A6" s="30" t="s">
        <v>17</v>
      </c>
      <c r="B6" s="31"/>
      <c r="C6" s="32">
        <v>6715.35</v>
      </c>
      <c r="D6" s="17"/>
      <c r="E6" s="33"/>
      <c r="F6" s="22"/>
      <c r="G6" s="34"/>
      <c r="H6" s="35" t="s">
        <v>18</v>
      </c>
      <c r="I6" s="36">
        <f>'Detail Data'!E23</f>
        <v>0.41118204367096334</v>
      </c>
      <c r="K6" s="35" t="s">
        <v>19</v>
      </c>
      <c r="L6" s="37"/>
      <c r="M6" s="38">
        <f>'Detail Data'!E28</f>
        <v>1451.5</v>
      </c>
    </row>
    <row r="7" spans="1:18" ht="15" customHeight="1" x14ac:dyDescent="0.2">
      <c r="A7" s="30" t="s">
        <v>20</v>
      </c>
      <c r="B7" s="31"/>
      <c r="C7" s="39">
        <v>7722.72</v>
      </c>
      <c r="D7" s="17"/>
      <c r="E7" s="40">
        <f>C7/C6-1</f>
        <v>0.15001005159820413</v>
      </c>
      <c r="F7" s="41">
        <v>358.17</v>
      </c>
      <c r="G7" s="42">
        <f>C7/F7</f>
        <v>21.561604824524668</v>
      </c>
      <c r="H7" s="35" t="s">
        <v>21</v>
      </c>
      <c r="I7" s="36">
        <f>AVERAGE('Detail Data'!C23,'Detail Data'!D23,'Detail Data'!E23)</f>
        <v>0.4066217346176888</v>
      </c>
      <c r="K7" s="35" t="s">
        <v>22</v>
      </c>
      <c r="L7" s="37"/>
      <c r="M7" s="43">
        <f>M6/'Detail Data'!E9</f>
        <v>7.1361848574237952</v>
      </c>
    </row>
    <row r="8" spans="1:18" ht="12.75" customHeight="1" x14ac:dyDescent="0.2">
      <c r="A8" s="30" t="s">
        <v>23</v>
      </c>
      <c r="C8" s="32">
        <v>8000</v>
      </c>
      <c r="E8" s="40">
        <f>F8/F7-1</f>
        <v>5.1093056369879708E-3</v>
      </c>
      <c r="F8" s="41">
        <v>360</v>
      </c>
      <c r="G8" s="44">
        <f>C8/F8</f>
        <v>22.222222222222221</v>
      </c>
      <c r="H8" s="35" t="s">
        <v>24</v>
      </c>
      <c r="I8" s="36">
        <f>'Detail Data'!E25</f>
        <v>0.13910462326678322</v>
      </c>
      <c r="K8" s="35" t="s">
        <v>25</v>
      </c>
      <c r="L8" s="37"/>
      <c r="M8" s="38">
        <f>'Detail Data'!D41</f>
        <v>0</v>
      </c>
    </row>
    <row r="9" spans="1:18" ht="15" customHeight="1" x14ac:dyDescent="0.2">
      <c r="A9" s="45" t="s">
        <v>26</v>
      </c>
      <c r="B9" s="46"/>
      <c r="C9" s="47">
        <v>8700</v>
      </c>
      <c r="D9" s="17"/>
      <c r="E9" s="48">
        <f>F9/F8-1</f>
        <v>0.11111111111111116</v>
      </c>
      <c r="F9" s="49">
        <v>400</v>
      </c>
      <c r="G9" s="50">
        <f>C9/F9</f>
        <v>21.75</v>
      </c>
      <c r="H9" s="35" t="s">
        <v>27</v>
      </c>
      <c r="I9" s="36">
        <f>AVERAGE('Detail Data'!C25,'Detail Data'!D25,'Detail Data'!E25)</f>
        <v>0.13764294654242248</v>
      </c>
      <c r="K9" s="35" t="s">
        <v>28</v>
      </c>
      <c r="L9" s="37"/>
      <c r="M9" s="43">
        <f>M8/'Detail Data'!E9</f>
        <v>0</v>
      </c>
    </row>
    <row r="10" spans="1:18" ht="18.75" customHeight="1" x14ac:dyDescent="0.2">
      <c r="A10" s="389" t="s">
        <v>29</v>
      </c>
      <c r="B10" s="389"/>
      <c r="C10" s="389"/>
      <c r="D10" s="17"/>
      <c r="E10" s="380" t="s">
        <v>30</v>
      </c>
      <c r="F10" s="380"/>
      <c r="G10" s="380"/>
      <c r="H10" s="35" t="s">
        <v>31</v>
      </c>
      <c r="I10" s="36">
        <f>'Detail Data'!E26</f>
        <v>0.2468263326962957</v>
      </c>
      <c r="K10" s="35" t="s">
        <v>32</v>
      </c>
      <c r="L10" s="37"/>
      <c r="M10" s="38">
        <f>'Detail Data'!E34</f>
        <v>4693.7</v>
      </c>
    </row>
    <row r="11" spans="1:18" ht="18.75" customHeight="1" x14ac:dyDescent="0.2">
      <c r="A11" s="385" t="s">
        <v>285</v>
      </c>
      <c r="B11" s="385"/>
      <c r="C11" s="385"/>
      <c r="D11" s="17"/>
      <c r="E11" s="391" t="s">
        <v>286</v>
      </c>
      <c r="F11" s="391"/>
      <c r="G11" s="391"/>
      <c r="H11" s="51" t="s">
        <v>33</v>
      </c>
      <c r="I11" s="52">
        <f>AVERAGE('Detail Data'!C26,'Detail Data'!D26,'Detail Data'!E26)</f>
        <v>0.23751537688279645</v>
      </c>
      <c r="K11" s="51" t="s">
        <v>34</v>
      </c>
      <c r="L11" s="53"/>
      <c r="M11" s="54" t="e">
        <f>'DCF 1-Pager'!C69/'Detail Data'!D41</f>
        <v>#DIV/0!</v>
      </c>
    </row>
    <row r="12" spans="1:18" ht="18.75" customHeight="1" x14ac:dyDescent="0.2">
      <c r="A12" s="385"/>
      <c r="B12" s="385"/>
      <c r="C12" s="385"/>
      <c r="D12" s="17"/>
      <c r="E12" s="391"/>
      <c r="F12" s="391"/>
      <c r="G12" s="391"/>
      <c r="H12" s="380" t="s">
        <v>35</v>
      </c>
      <c r="I12" s="380"/>
      <c r="K12" s="55" t="s">
        <v>36</v>
      </c>
      <c r="L12" s="56" t="s">
        <v>14</v>
      </c>
      <c r="M12" s="57" t="s">
        <v>37</v>
      </c>
    </row>
    <row r="13" spans="1:18" ht="18.75" customHeight="1" x14ac:dyDescent="0.2">
      <c r="A13" s="385"/>
      <c r="B13" s="385"/>
      <c r="C13" s="385"/>
      <c r="D13" s="17"/>
      <c r="E13" s="391"/>
      <c r="F13" s="391"/>
      <c r="G13" s="391"/>
      <c r="H13" s="58" t="s">
        <v>38</v>
      </c>
      <c r="I13" s="59">
        <f>('Detail Data'!E5/'Detail Data'!D5)-1</f>
        <v>5.1648050903990494E-2</v>
      </c>
      <c r="K13" s="60" t="s">
        <v>39</v>
      </c>
      <c r="L13" s="61">
        <f>'Detail Data'!E12</f>
        <v>2.6376744602122559</v>
      </c>
      <c r="M13" s="62">
        <f>L13*'Detail Data'!E7</f>
        <v>159.46</v>
      </c>
    </row>
    <row r="14" spans="1:18" ht="18.75" customHeight="1" x14ac:dyDescent="0.2">
      <c r="A14" s="385"/>
      <c r="B14" s="385"/>
      <c r="C14" s="385"/>
      <c r="D14" s="17"/>
      <c r="E14" s="391"/>
      <c r="F14" s="391"/>
      <c r="G14" s="391"/>
      <c r="H14" s="58" t="s">
        <v>40</v>
      </c>
      <c r="I14" s="59">
        <f>'Detail Data'!F5/'Detail Data'!E5-1</f>
        <v>2.4966453868987104E-2</v>
      </c>
      <c r="K14" s="58" t="s">
        <v>41</v>
      </c>
      <c r="L14" s="63">
        <f>'Detail Data'!F12</f>
        <v>2.5734251596778672</v>
      </c>
      <c r="M14" s="64">
        <f>L13*'Detail Data'!F7</f>
        <v>163.44115073394872</v>
      </c>
    </row>
    <row r="15" spans="1:18" ht="18.75" customHeight="1" x14ac:dyDescent="0.2">
      <c r="A15" s="380" t="s">
        <v>42</v>
      </c>
      <c r="B15" s="380"/>
      <c r="C15" s="380"/>
      <c r="D15" s="17"/>
      <c r="E15" s="380" t="s">
        <v>43</v>
      </c>
      <c r="F15" s="380"/>
      <c r="G15" s="380"/>
      <c r="H15" s="58" t="s">
        <v>44</v>
      </c>
      <c r="I15" s="59">
        <f>(('Detail Data'!G5/'Detail Data'!E5)^(1/2))-1</f>
        <v>2.551120927708328E-2</v>
      </c>
      <c r="K15" s="65" t="s">
        <v>45</v>
      </c>
      <c r="L15" s="66">
        <f>'Detail Data'!G12</f>
        <v>2.5080741422374131</v>
      </c>
      <c r="M15" s="67">
        <f>L13*'Detail Data'!G7</f>
        <v>167.69981490668079</v>
      </c>
    </row>
    <row r="16" spans="1:18" ht="18.75" customHeight="1" x14ac:dyDescent="0.2">
      <c r="A16" s="388" t="s">
        <v>287</v>
      </c>
      <c r="B16" s="388"/>
      <c r="C16" s="388"/>
      <c r="D16" s="17"/>
      <c r="E16" s="386" t="s">
        <v>288</v>
      </c>
      <c r="F16" s="386"/>
      <c r="G16" s="386"/>
      <c r="H16" s="58" t="s">
        <v>46</v>
      </c>
      <c r="I16" s="59">
        <f>'Detail Data'!E7/'Detail Data'!D7-1</f>
        <v>12.929670259958584</v>
      </c>
      <c r="K16" s="60" t="s">
        <v>47</v>
      </c>
      <c r="L16" s="68">
        <f>'Detail Data'!E11</f>
        <v>2.6376744602122559</v>
      </c>
      <c r="M16" s="62">
        <f>('Detail Data'!E11*'Detail Data'!E5)/'Detail Data'!E9</f>
        <v>159.46</v>
      </c>
      <c r="N16" s="69" t="s">
        <v>48</v>
      </c>
      <c r="O16" s="70"/>
      <c r="P16" s="70"/>
      <c r="Q16" s="71"/>
      <c r="R16" s="72"/>
    </row>
    <row r="17" spans="1:18" ht="18.75" customHeight="1" x14ac:dyDescent="0.2">
      <c r="A17" s="388"/>
      <c r="B17" s="388"/>
      <c r="C17" s="388"/>
      <c r="D17" s="17"/>
      <c r="E17" s="386"/>
      <c r="F17" s="386"/>
      <c r="G17" s="386"/>
      <c r="H17" s="58" t="s">
        <v>49</v>
      </c>
      <c r="I17" s="59">
        <f>'Detail Data'!F7/'Detail Data'!E7-1</f>
        <v>2.4966453868987104E-2</v>
      </c>
      <c r="K17" s="58" t="s">
        <v>50</v>
      </c>
      <c r="L17" s="63">
        <f>'Detail Data'!F11</f>
        <v>2.5734251596778677</v>
      </c>
      <c r="M17" s="64">
        <f>('Detail Data'!E11*'Detail Data'!F5)/'Detail Data'!F9</f>
        <v>163.44115073394869</v>
      </c>
      <c r="N17" s="73" t="s">
        <v>51</v>
      </c>
      <c r="O17" s="72"/>
      <c r="P17" s="72"/>
      <c r="Q17" s="74"/>
      <c r="R17" s="72"/>
    </row>
    <row r="18" spans="1:18" ht="18.75" customHeight="1" x14ac:dyDescent="0.2">
      <c r="A18" s="388"/>
      <c r="B18" s="388"/>
      <c r="C18" s="388"/>
      <c r="D18" s="17"/>
      <c r="E18" s="386"/>
      <c r="F18" s="386"/>
      <c r="G18" s="386"/>
      <c r="H18" s="65" t="s">
        <v>52</v>
      </c>
      <c r="I18" s="54">
        <f>(('Detail Data'!G7/'Detail Data'!E7)^(1/2))-1</f>
        <v>2.551120927708328E-2</v>
      </c>
      <c r="K18" s="65" t="s">
        <v>53</v>
      </c>
      <c r="L18" s="66">
        <f>'Detail Data'!G11</f>
        <v>2.5080741422374131</v>
      </c>
      <c r="M18" s="67">
        <f>('Detail Data'!E11*'Detail Data'!G5)/'Detail Data'!G9</f>
        <v>167.69981490668076</v>
      </c>
      <c r="N18" s="69" t="s">
        <v>54</v>
      </c>
      <c r="O18" s="70"/>
      <c r="P18" s="70"/>
      <c r="Q18" s="70"/>
      <c r="R18" s="71"/>
    </row>
    <row r="19" spans="1:18" ht="18.75" customHeight="1" x14ac:dyDescent="0.2">
      <c r="A19" s="389" t="s">
        <v>55</v>
      </c>
      <c r="B19" s="389"/>
      <c r="C19" s="389"/>
      <c r="D19" s="17"/>
      <c r="E19" s="390" t="s">
        <v>56</v>
      </c>
      <c r="F19" s="390"/>
      <c r="G19" s="390"/>
      <c r="H19" s="380" t="s">
        <v>57</v>
      </c>
      <c r="I19" s="380"/>
      <c r="K19" s="60" t="s">
        <v>58</v>
      </c>
      <c r="L19" s="68">
        <f>'Detail Data'!E13</f>
        <v>11.501963691476393</v>
      </c>
      <c r="M19" s="62">
        <f>(('Detail Data'!E13*'Detail Data'!E21)-'Detail Data'!E34+'Detail Data'!E28)/'Detail Data'!E9</f>
        <v>155.69031465093411</v>
      </c>
      <c r="N19" s="73" t="s">
        <v>59</v>
      </c>
      <c r="O19" s="72"/>
      <c r="P19" s="72"/>
      <c r="Q19" s="72"/>
      <c r="R19" s="74"/>
    </row>
    <row r="20" spans="1:18" ht="18.75" customHeight="1" x14ac:dyDescent="0.2">
      <c r="A20" s="385" t="s">
        <v>289</v>
      </c>
      <c r="B20" s="385"/>
      <c r="C20" s="385"/>
      <c r="D20" s="17"/>
      <c r="E20" s="381" t="s">
        <v>290</v>
      </c>
      <c r="F20" s="381"/>
      <c r="G20" s="381"/>
      <c r="H20" s="60" t="s">
        <v>60</v>
      </c>
      <c r="I20" s="75">
        <f>'Detail Data'!E35/AVERAGE('Detail Data'!E30,'Detail Data'!D30)</f>
        <v>0.34483455126494161</v>
      </c>
      <c r="K20" s="58" t="s">
        <v>61</v>
      </c>
      <c r="L20" s="63">
        <f>'Detail Data'!F13</f>
        <v>10.286289704755731</v>
      </c>
      <c r="M20" s="64">
        <f>(('Detail Data'!E13*'Detail Data'!F21)+'Detail Data'!F28-'Detail Data'!F34)/'Detail Data'!F9</f>
        <v>177.20680617567641</v>
      </c>
      <c r="N20" s="73" t="s">
        <v>62</v>
      </c>
      <c r="O20" s="72"/>
      <c r="P20" s="72"/>
      <c r="Q20" s="72"/>
      <c r="R20" s="74"/>
    </row>
    <row r="21" spans="1:18" ht="18.75" customHeight="1" x14ac:dyDescent="0.2">
      <c r="A21" s="385"/>
      <c r="B21" s="385"/>
      <c r="C21" s="385"/>
      <c r="D21" s="17"/>
      <c r="E21" s="383" t="s">
        <v>291</v>
      </c>
      <c r="F21" s="383"/>
      <c r="G21" s="383"/>
      <c r="H21" s="58" t="s">
        <v>63</v>
      </c>
      <c r="I21" s="59">
        <f>'Detail Data'!E17/AVERAGE('Detail Data'!C35,'Detail Data'!D35,'Detail Data'!E35)</f>
        <v>0.36311979450455362</v>
      </c>
      <c r="K21" s="65" t="s">
        <v>64</v>
      </c>
      <c r="L21" s="66">
        <f>'Detail Data'!G13</f>
        <v>9.8220724776320978</v>
      </c>
      <c r="M21" s="67">
        <f>(('Detail Data'!E13*'Detail Data'!G21)+'Detail Data'!G28-'Detail Data'!G34)/'Detail Data'!G9</f>
        <v>187.95220920474625</v>
      </c>
      <c r="N21" s="76" t="s">
        <v>65</v>
      </c>
      <c r="O21" s="77"/>
      <c r="P21" s="77"/>
      <c r="Q21" s="77"/>
      <c r="R21" s="78"/>
    </row>
    <row r="22" spans="1:18" ht="18.75" customHeight="1" x14ac:dyDescent="0.2">
      <c r="A22" s="385"/>
      <c r="B22" s="385"/>
      <c r="C22" s="385"/>
      <c r="D22" s="17"/>
      <c r="E22" s="386" t="s">
        <v>292</v>
      </c>
      <c r="F22" s="386"/>
      <c r="G22" s="386"/>
      <c r="H22" s="58" t="s">
        <v>66</v>
      </c>
      <c r="I22" s="59">
        <f>'Detail Data'!E40/AVERAGE('Detail Data'!E30,'Detail Data'!D30,'Detail Data'!C30)</f>
        <v>3.2514168398018267E-2</v>
      </c>
      <c r="K22" s="60"/>
      <c r="L22" s="68"/>
      <c r="M22" s="62"/>
      <c r="N22" s="69" t="s">
        <v>67</v>
      </c>
      <c r="O22" s="70"/>
      <c r="P22" s="70"/>
      <c r="Q22" s="70"/>
      <c r="R22" s="71"/>
    </row>
    <row r="23" spans="1:18" ht="18.75" customHeight="1" x14ac:dyDescent="0.2">
      <c r="A23" s="385"/>
      <c r="B23" s="385"/>
      <c r="C23" s="385"/>
      <c r="D23" s="17"/>
      <c r="E23" s="387" t="s">
        <v>68</v>
      </c>
      <c r="F23" s="387"/>
      <c r="G23" s="387"/>
      <c r="H23" s="58" t="s">
        <v>69</v>
      </c>
      <c r="I23" s="59">
        <f>'Detail Data'!E17/'Detail Data'!E35</f>
        <v>0.35783021630894107</v>
      </c>
      <c r="K23" s="58"/>
      <c r="L23" s="63"/>
      <c r="M23" s="64"/>
      <c r="N23" s="73" t="s">
        <v>70</v>
      </c>
      <c r="O23" s="72"/>
      <c r="P23" s="72"/>
      <c r="Q23" s="72"/>
      <c r="R23" s="74"/>
    </row>
    <row r="24" spans="1:18" ht="18.75" customHeight="1" x14ac:dyDescent="0.2">
      <c r="A24" s="380" t="s">
        <v>71</v>
      </c>
      <c r="B24" s="380"/>
      <c r="C24" s="380"/>
      <c r="D24" s="17"/>
      <c r="E24" s="381" t="s">
        <v>293</v>
      </c>
      <c r="F24" s="381"/>
      <c r="G24" s="381"/>
      <c r="H24" s="58" t="s">
        <v>72</v>
      </c>
      <c r="I24" s="59">
        <f>AVERAGE('Detail Data'!D30,'Detail Data'!E30)/AVERAGE('Detail Data'!D35,'Detail Data'!E35)</f>
        <v>2.9441010937665921</v>
      </c>
      <c r="K24" s="65"/>
      <c r="L24" s="66"/>
      <c r="M24" s="67"/>
      <c r="N24" s="76" t="s">
        <v>73</v>
      </c>
      <c r="O24" s="77"/>
      <c r="P24" s="77"/>
      <c r="Q24" s="77"/>
      <c r="R24" s="78"/>
    </row>
    <row r="25" spans="1:18" ht="18.75" customHeight="1" x14ac:dyDescent="0.2">
      <c r="A25" s="79" t="s">
        <v>294</v>
      </c>
      <c r="B25" s="382" t="s">
        <v>295</v>
      </c>
      <c r="C25" s="382"/>
      <c r="D25" s="17"/>
      <c r="E25" s="383" t="s">
        <v>296</v>
      </c>
      <c r="F25" s="383"/>
      <c r="G25" s="383"/>
      <c r="H25" s="58" t="s">
        <v>74</v>
      </c>
      <c r="I25" s="59">
        <f>AVERAGE('Detail Data'!C30,'Detail Data'!D30,'Detail Data'!E30)/AVERAGE('Detail Data'!C35,'Detail Data'!D35,'Detail Data'!E35)</f>
        <v>2.8780330745770146</v>
      </c>
    </row>
    <row r="26" spans="1:18" ht="18.75" customHeight="1" x14ac:dyDescent="0.2">
      <c r="A26" s="79" t="s">
        <v>297</v>
      </c>
      <c r="B26" s="384" t="s">
        <v>298</v>
      </c>
      <c r="C26" s="384"/>
      <c r="D26" s="17"/>
      <c r="E26" s="383" t="s">
        <v>299</v>
      </c>
      <c r="F26" s="383"/>
      <c r="G26" s="383"/>
      <c r="H26" s="58"/>
      <c r="I26" s="59"/>
    </row>
    <row r="27" spans="1:18" ht="18.75" customHeight="1" x14ac:dyDescent="0.2">
      <c r="A27" s="379" t="s">
        <v>75</v>
      </c>
      <c r="B27" s="379"/>
      <c r="C27" s="379"/>
      <c r="D27" s="379"/>
      <c r="E27" s="379"/>
      <c r="F27" s="379"/>
      <c r="G27" s="379"/>
      <c r="H27" s="65"/>
      <c r="I27" s="54"/>
    </row>
    <row r="28" spans="1:18" ht="18.75" customHeight="1" x14ac:dyDescent="0.2">
      <c r="A28" s="80"/>
      <c r="B28" s="81"/>
      <c r="C28" s="81"/>
      <c r="D28" s="82"/>
      <c r="E28" s="81"/>
      <c r="F28" s="81"/>
      <c r="G28" s="83"/>
      <c r="H28" s="380" t="s">
        <v>76</v>
      </c>
      <c r="I28" s="380"/>
      <c r="K28" s="380" t="s">
        <v>77</v>
      </c>
      <c r="L28" s="380"/>
      <c r="M28" s="380"/>
    </row>
    <row r="29" spans="1:18" ht="18.75" customHeight="1" x14ac:dyDescent="0.2">
      <c r="A29" s="80"/>
      <c r="B29" s="81"/>
      <c r="C29" s="81"/>
      <c r="D29" s="82"/>
      <c r="E29" s="81"/>
      <c r="F29" s="81"/>
      <c r="G29" s="83"/>
      <c r="H29" s="58" t="s">
        <v>78</v>
      </c>
      <c r="I29" s="59">
        <f>'Detail Data'!E40/'Detail Data'!E5</f>
        <v>3.5847598910259015E-2</v>
      </c>
      <c r="K29" s="60" t="s">
        <v>79</v>
      </c>
      <c r="L29" s="84"/>
      <c r="M29" s="85">
        <f>'Detail Data'!E12/(1+FrontPage!I16)</f>
        <v>0.18935656128159478</v>
      </c>
      <c r="N29" s="86"/>
    </row>
    <row r="30" spans="1:18" ht="18.75" customHeight="1" x14ac:dyDescent="0.2">
      <c r="A30" s="80"/>
      <c r="B30" s="81"/>
      <c r="C30" s="81"/>
      <c r="D30" s="82"/>
      <c r="E30" s="81"/>
      <c r="F30" s="81"/>
      <c r="G30" s="83"/>
      <c r="H30" s="58" t="s">
        <v>80</v>
      </c>
      <c r="I30" s="59">
        <f>AVERAGE('Detail Data'!E40,'Detail Data'!D40,'Detail Data'!C40)/AVERAGE('Detail Data'!E5,'Detail Data'!D5,'Detail Data'!C5)</f>
        <v>4.2660991037583057E-2</v>
      </c>
      <c r="K30" s="58" t="s">
        <v>81</v>
      </c>
      <c r="L30" s="37"/>
      <c r="M30" s="87">
        <f>'Detail Data'!E11/(1+FrontPage!I13)</f>
        <v>2.5081342165232243</v>
      </c>
    </row>
    <row r="31" spans="1:18" ht="18.75" customHeight="1" x14ac:dyDescent="0.2">
      <c r="A31" s="80"/>
      <c r="B31" s="81"/>
      <c r="C31" s="81"/>
      <c r="D31" s="82"/>
      <c r="E31" s="81"/>
      <c r="F31" s="81"/>
      <c r="G31" s="83"/>
      <c r="H31" s="58"/>
      <c r="I31" s="59"/>
      <c r="K31" s="58" t="s">
        <v>82</v>
      </c>
      <c r="M31" s="87">
        <f>'Detail Data'!E13/(('Detail Data'!E21/'Detail Data'!D21))</f>
        <v>7.3716252422193271</v>
      </c>
    </row>
    <row r="32" spans="1:18" ht="17.25" customHeight="1" x14ac:dyDescent="0.2">
      <c r="A32" s="80"/>
      <c r="B32" s="81"/>
      <c r="C32" s="81"/>
      <c r="D32" s="81"/>
      <c r="E32" s="81"/>
      <c r="F32" s="81"/>
      <c r="G32" s="83"/>
      <c r="H32" s="58"/>
      <c r="I32" s="59"/>
      <c r="K32" s="58"/>
      <c r="M32" s="87"/>
    </row>
    <row r="33" spans="1:13" ht="14.25" customHeight="1" x14ac:dyDescent="0.2">
      <c r="A33" s="80"/>
      <c r="B33" s="81"/>
      <c r="C33" s="81"/>
      <c r="D33" s="81"/>
      <c r="E33" s="81"/>
      <c r="F33" s="81"/>
      <c r="G33" s="83"/>
      <c r="H33"/>
      <c r="I33"/>
      <c r="J33"/>
      <c r="K33"/>
      <c r="L33"/>
      <c r="M33"/>
    </row>
    <row r="34" spans="1:13" ht="14.25" customHeight="1" x14ac:dyDescent="0.2">
      <c r="A34" s="80"/>
      <c r="B34" s="81"/>
      <c r="C34" s="81"/>
      <c r="D34" s="81"/>
      <c r="E34" s="81"/>
      <c r="F34" s="81"/>
      <c r="G34" s="83"/>
      <c r="H34"/>
      <c r="I34"/>
      <c r="J34"/>
      <c r="K34"/>
      <c r="L34"/>
      <c r="M34"/>
    </row>
    <row r="35" spans="1:13" ht="14.25" customHeight="1" x14ac:dyDescent="0.2">
      <c r="A35" s="80"/>
      <c r="B35" s="81"/>
      <c r="C35" s="81"/>
      <c r="D35" s="81"/>
      <c r="E35" s="81"/>
      <c r="F35" s="81"/>
      <c r="G35" s="83"/>
      <c r="H35"/>
      <c r="I35"/>
      <c r="J35"/>
      <c r="K35"/>
      <c r="L35"/>
      <c r="M35"/>
    </row>
    <row r="36" spans="1:13" ht="14.25" customHeight="1" x14ac:dyDescent="0.2">
      <c r="A36" s="80"/>
      <c r="B36" s="81"/>
      <c r="C36" s="81"/>
      <c r="D36" s="81"/>
      <c r="E36" s="81"/>
      <c r="F36" s="81"/>
      <c r="G36" s="83"/>
      <c r="H36"/>
      <c r="I36"/>
      <c r="J36"/>
      <c r="K36"/>
      <c r="L36"/>
      <c r="M36"/>
    </row>
    <row r="37" spans="1:13" ht="12.75" customHeight="1" x14ac:dyDescent="0.2">
      <c r="A37" s="80"/>
      <c r="B37" s="81"/>
      <c r="C37" s="81"/>
      <c r="D37" s="81"/>
      <c r="E37" s="81"/>
      <c r="F37" s="81"/>
      <c r="G37" s="83"/>
      <c r="H37"/>
      <c r="I37"/>
      <c r="J37"/>
      <c r="K37"/>
      <c r="L37"/>
      <c r="M37"/>
    </row>
    <row r="38" spans="1:13" ht="12.75" customHeight="1" x14ac:dyDescent="0.2">
      <c r="A38" s="80"/>
      <c r="B38" s="81"/>
      <c r="C38" s="81"/>
      <c r="D38" s="81"/>
      <c r="E38" s="81"/>
      <c r="F38" s="81"/>
      <c r="G38" s="83"/>
      <c r="H38"/>
      <c r="I38"/>
      <c r="J38"/>
      <c r="K38"/>
      <c r="L38"/>
      <c r="M38"/>
    </row>
    <row r="39" spans="1:13" ht="12.75" customHeight="1" x14ac:dyDescent="0.2">
      <c r="A39" s="80"/>
      <c r="B39" s="81"/>
      <c r="C39" s="81"/>
      <c r="D39" s="81"/>
      <c r="E39" s="81"/>
      <c r="F39" s="81"/>
      <c r="G39" s="83"/>
      <c r="H39"/>
      <c r="I39"/>
      <c r="J39"/>
      <c r="K39"/>
      <c r="L39"/>
      <c r="M39"/>
    </row>
    <row r="40" spans="1:13" ht="13.5" customHeight="1" x14ac:dyDescent="0.2">
      <c r="A40" s="89"/>
      <c r="B40" s="90"/>
      <c r="C40" s="90"/>
      <c r="D40" s="90"/>
      <c r="E40" s="90"/>
      <c r="F40" s="90"/>
      <c r="G40" s="91"/>
      <c r="H40"/>
      <c r="I40"/>
      <c r="J40"/>
      <c r="K40"/>
      <c r="L40"/>
      <c r="M40"/>
    </row>
    <row r="41" spans="1:13" ht="12.75" customHeight="1" x14ac:dyDescent="0.2">
      <c r="I41" s="93">
        <v>0.79100000000000004</v>
      </c>
    </row>
    <row r="42" spans="1:13" ht="12" customHeight="1" x14ac:dyDescent="0.2"/>
    <row r="43" spans="1:13" ht="12" customHeight="1" x14ac:dyDescent="0.2"/>
    <row r="44" spans="1:13" ht="12" customHeight="1" x14ac:dyDescent="0.2">
      <c r="H44"/>
      <c r="I44"/>
      <c r="K44"/>
    </row>
    <row r="45" spans="1:13" ht="12" customHeight="1" x14ac:dyDescent="0.2">
      <c r="H45"/>
      <c r="I45"/>
      <c r="K45"/>
    </row>
    <row r="46" spans="1:13" ht="12" customHeight="1" x14ac:dyDescent="0.2">
      <c r="H46"/>
      <c r="I46"/>
      <c r="K46"/>
    </row>
    <row r="47" spans="1:13" ht="12" customHeight="1" x14ac:dyDescent="0.2">
      <c r="H47"/>
      <c r="I47"/>
      <c r="K47"/>
    </row>
    <row r="48" spans="1:13" ht="12" customHeight="1" x14ac:dyDescent="0.2">
      <c r="H48"/>
      <c r="I48"/>
      <c r="K48"/>
    </row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</sheetData>
  <mergeCells count="34">
    <mergeCell ref="A1:G1"/>
    <mergeCell ref="H1:M1"/>
    <mergeCell ref="F2:G2"/>
    <mergeCell ref="H2:M2"/>
    <mergeCell ref="F3:G3"/>
    <mergeCell ref="F4:G4"/>
    <mergeCell ref="H5:I5"/>
    <mergeCell ref="K5:M5"/>
    <mergeCell ref="A10:C10"/>
    <mergeCell ref="E10:G10"/>
    <mergeCell ref="A11:C14"/>
    <mergeCell ref="E11:G14"/>
    <mergeCell ref="H12:I12"/>
    <mergeCell ref="A15:C15"/>
    <mergeCell ref="E15:G15"/>
    <mergeCell ref="A16:C18"/>
    <mergeCell ref="E16:G18"/>
    <mergeCell ref="A19:C19"/>
    <mergeCell ref="E19:G19"/>
    <mergeCell ref="H19:I19"/>
    <mergeCell ref="A20:C23"/>
    <mergeCell ref="E20:G20"/>
    <mergeCell ref="E21:G21"/>
    <mergeCell ref="E22:G22"/>
    <mergeCell ref="E23:G23"/>
    <mergeCell ref="A27:G27"/>
    <mergeCell ref="H28:I28"/>
    <mergeCell ref="K28:M28"/>
    <mergeCell ref="A24:C24"/>
    <mergeCell ref="E24:G24"/>
    <mergeCell ref="B25:C25"/>
    <mergeCell ref="E25:G25"/>
    <mergeCell ref="B26:C26"/>
    <mergeCell ref="E26:G26"/>
  </mergeCells>
  <pageMargins left="0.7" right="0.45" top="0.5" bottom="0.5" header="0.511811023622047" footer="0.511811023622047"/>
  <pageSetup orientation="landscape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75"/>
  <sheetViews>
    <sheetView tabSelected="1" zoomScale="130" zoomScaleNormal="130" workbookViewId="0">
      <selection activeCell="D7" sqref="D7"/>
    </sheetView>
  </sheetViews>
  <sheetFormatPr baseColWidth="10" defaultColWidth="8.6640625" defaultRowHeight="13" x14ac:dyDescent="0.15"/>
  <cols>
    <col min="1" max="1" width="22.1640625" style="88" customWidth="1"/>
    <col min="2" max="3" width="9.6640625" style="88" customWidth="1"/>
    <col min="4" max="4" width="9.5" style="88" customWidth="1"/>
    <col min="5" max="5" width="10.6640625" style="88" customWidth="1"/>
    <col min="6" max="6" width="11.6640625" style="88" customWidth="1"/>
    <col min="7" max="7" width="11" style="88" customWidth="1"/>
    <col min="8" max="8" width="11.5" style="88" customWidth="1"/>
    <col min="9" max="9" width="5" style="88" customWidth="1"/>
    <col min="10" max="10" width="15" style="88" customWidth="1"/>
    <col min="11" max="16384" width="8.6640625" style="88"/>
  </cols>
  <sheetData>
    <row r="1" spans="1:7" ht="12.75" customHeight="1" x14ac:dyDescent="0.15">
      <c r="A1" s="94"/>
      <c r="B1" s="94"/>
      <c r="C1" s="94"/>
      <c r="D1" s="94"/>
    </row>
    <row r="2" spans="1:7" ht="13.5" customHeight="1" thickBot="1" x14ac:dyDescent="0.25">
      <c r="A2" s="45" t="s">
        <v>83</v>
      </c>
      <c r="B2" s="95"/>
      <c r="C2" s="96" t="str">
        <f>(YEAR(FrontPage!$C$4)-2)&amp;"A"</f>
        <v>2024A</v>
      </c>
      <c r="D2" s="96" t="str">
        <f>YEAR(FrontPage!$C$4)-1&amp;"A"</f>
        <v>2025A</v>
      </c>
      <c r="E2" s="97" t="str">
        <f>(YEAR(FrontPage!$C$4))&amp;"F"</f>
        <v>2026F</v>
      </c>
      <c r="F2" s="97" t="str">
        <f>(YEAR(FrontPage!$C$4)+1)&amp;"F"</f>
        <v>2027F</v>
      </c>
      <c r="G2" s="97" t="str">
        <f>(YEAR(FrontPage!$C$4)+2)&amp;"F"</f>
        <v>2028F</v>
      </c>
    </row>
    <row r="3" spans="1:7" ht="12.75" customHeight="1" x14ac:dyDescent="0.15">
      <c r="A3" s="98" t="s">
        <v>84</v>
      </c>
      <c r="B3" s="99"/>
      <c r="C3" s="100">
        <f>C9*FrontPage!$C3</f>
        <v>32450.11</v>
      </c>
      <c r="D3" s="100">
        <f>D9*FrontPage!C3</f>
        <v>32434.164000000004</v>
      </c>
      <c r="E3" s="101">
        <f>E9*FrontPage!C3</f>
        <v>32434.164000000004</v>
      </c>
      <c r="F3" s="101">
        <f>F9*FrontPage!C3</f>
        <v>32434.164000000004</v>
      </c>
      <c r="G3" s="102">
        <f>G9*FrontPage!C3</f>
        <v>32434.164000000004</v>
      </c>
    </row>
    <row r="4" spans="1:7" ht="12.75" customHeight="1" x14ac:dyDescent="0.15">
      <c r="A4" s="103" t="s">
        <v>85</v>
      </c>
      <c r="B4" s="104"/>
      <c r="C4" s="105">
        <f>C3+C34-C28</f>
        <v>34909.61</v>
      </c>
      <c r="D4" s="105">
        <f>D3+D34-D28</f>
        <v>36189.464</v>
      </c>
      <c r="E4" s="105">
        <f>E3+E34-E28</f>
        <v>35676.364000000001</v>
      </c>
      <c r="F4" s="105">
        <f>F3+F34-F28</f>
        <v>35425.664000000004</v>
      </c>
      <c r="G4" s="106">
        <f>G3+G34-G28</f>
        <v>35084.964000000007</v>
      </c>
    </row>
    <row r="5" spans="1:7" ht="12.75" customHeight="1" x14ac:dyDescent="0.15">
      <c r="A5" s="107" t="str">
        <f>CONCATENATE("Revenue (t) - Current FY")</f>
        <v>Revenue (t) - Current FY</v>
      </c>
      <c r="B5" s="108"/>
      <c r="C5" s="109">
        <v>11202.3</v>
      </c>
      <c r="D5" s="109">
        <v>11692.6</v>
      </c>
      <c r="E5" s="109">
        <v>12296.5</v>
      </c>
      <c r="F5" s="109">
        <v>12603.5</v>
      </c>
      <c r="G5" s="111">
        <v>12931.9</v>
      </c>
    </row>
    <row r="6" spans="1:7" ht="12.75" customHeight="1" x14ac:dyDescent="0.15">
      <c r="A6" s="107" t="str">
        <f>CONCATENATE("Revenue (t-1) - Previous FY")</f>
        <v>Revenue (t-1) - Previous FY</v>
      </c>
      <c r="C6" s="109">
        <v>11165</v>
      </c>
      <c r="D6" s="109">
        <v>11202.3</v>
      </c>
      <c r="E6" s="110">
        <f>D5</f>
        <v>11692.6</v>
      </c>
      <c r="F6" s="110">
        <f>E5</f>
        <v>12296.5</v>
      </c>
      <c r="G6" s="112">
        <f>F5</f>
        <v>12603.5</v>
      </c>
    </row>
    <row r="7" spans="1:7" ht="12.75" customHeight="1" x14ac:dyDescent="0.15">
      <c r="A7" s="107" t="str">
        <f>CONCATENATE("FD EPS (t) - Current FY")</f>
        <v>FD EPS (t) - Current FY</v>
      </c>
      <c r="B7" s="108"/>
      <c r="C7" s="113">
        <v>10.92</v>
      </c>
      <c r="D7" s="113">
        <v>4.34</v>
      </c>
      <c r="E7" s="114">
        <f>E5/E9</f>
        <v>60.454768928220254</v>
      </c>
      <c r="F7" s="114">
        <f>F5/F9</f>
        <v>61.964110127826942</v>
      </c>
      <c r="G7" s="114">
        <f t="shared" ref="G7" si="0">G5/G9</f>
        <v>63.578662733529988</v>
      </c>
    </row>
    <row r="8" spans="1:7" ht="12.75" customHeight="1" x14ac:dyDescent="0.15">
      <c r="A8" s="107" t="str">
        <f>CONCATENATE("FD EPS (t-1) - Previous FY")</f>
        <v>FD EPS (t-1) - Previous FY</v>
      </c>
      <c r="C8" s="113">
        <v>9.06</v>
      </c>
      <c r="D8" s="113">
        <v>10.92</v>
      </c>
      <c r="E8" s="114">
        <f>D7</f>
        <v>4.34</v>
      </c>
      <c r="F8" s="114">
        <f t="shared" ref="F8:G8" si="1">E7</f>
        <v>60.454768928220254</v>
      </c>
      <c r="G8" s="114">
        <f t="shared" si="1"/>
        <v>61.964110127826942</v>
      </c>
    </row>
    <row r="9" spans="1:7" ht="13.5" customHeight="1" thickBot="1" x14ac:dyDescent="0.2">
      <c r="A9" s="115" t="s">
        <v>86</v>
      </c>
      <c r="B9" s="116"/>
      <c r="C9" s="117">
        <v>203.5</v>
      </c>
      <c r="D9" s="117">
        <v>203.4</v>
      </c>
      <c r="E9" s="119">
        <f>D9</f>
        <v>203.4</v>
      </c>
      <c r="F9" s="118">
        <f t="shared" ref="F9:G9" si="2">E9</f>
        <v>203.4</v>
      </c>
      <c r="G9" s="120">
        <f t="shared" si="2"/>
        <v>203.4</v>
      </c>
    </row>
    <row r="10" spans="1:7" ht="13.5" customHeight="1" thickBot="1" x14ac:dyDescent="0.2">
      <c r="A10" s="121" t="s">
        <v>87</v>
      </c>
      <c r="B10" s="122"/>
      <c r="C10" s="123" t="str">
        <f t="shared" ref="C10:G10" si="3">C2</f>
        <v>2024A</v>
      </c>
      <c r="D10" s="123" t="str">
        <f t="shared" si="3"/>
        <v>2025A</v>
      </c>
      <c r="E10" s="123" t="str">
        <f t="shared" si="3"/>
        <v>2026F</v>
      </c>
      <c r="F10" s="123" t="str">
        <f t="shared" si="3"/>
        <v>2027F</v>
      </c>
      <c r="G10" s="29" t="str">
        <f t="shared" si="3"/>
        <v>2028F</v>
      </c>
    </row>
    <row r="11" spans="1:7" ht="12.75" customHeight="1" x14ac:dyDescent="0.15">
      <c r="A11" s="124" t="s">
        <v>88</v>
      </c>
      <c r="B11" s="125"/>
      <c r="C11" s="126">
        <f>(FrontPage!$C3*C9)/C5</f>
        <v>2.8967363844924705</v>
      </c>
      <c r="D11" s="126">
        <f>(FrontPage!C3*D9)/D5</f>
        <v>2.7739052050014541</v>
      </c>
      <c r="E11" s="126">
        <f>E3/E5</f>
        <v>2.6376744602122559</v>
      </c>
      <c r="F11" s="126">
        <f t="shared" ref="F11:G11" si="4">F3/F5</f>
        <v>2.5734251596778677</v>
      </c>
      <c r="G11" s="126">
        <f t="shared" si="4"/>
        <v>2.5080741422374131</v>
      </c>
    </row>
    <row r="12" spans="1:7" ht="12.75" customHeight="1" x14ac:dyDescent="0.15">
      <c r="A12" s="127" t="s">
        <v>89</v>
      </c>
      <c r="B12" s="128"/>
      <c r="C12" s="129">
        <f>FrontPage!$C3/C7</f>
        <v>14.602564102564104</v>
      </c>
      <c r="D12" s="129">
        <f>FrontPage!C3/D7</f>
        <v>36.741935483870968</v>
      </c>
      <c r="E12" s="129">
        <f>FrontPage!C3/E7</f>
        <v>2.6376744602122559</v>
      </c>
      <c r="F12" s="129">
        <f>FrontPage!$C3/F7</f>
        <v>2.5734251596778672</v>
      </c>
      <c r="G12" s="130">
        <f>FrontPage!$C3/G7</f>
        <v>2.5080741422374131</v>
      </c>
    </row>
    <row r="13" spans="1:7" ht="12.75" customHeight="1" thickBot="1" x14ac:dyDescent="0.2">
      <c r="A13" s="131" t="s">
        <v>90</v>
      </c>
      <c r="B13" s="132"/>
      <c r="C13" s="129">
        <f>$C4/C21</f>
        <v>10.409903086327718</v>
      </c>
      <c r="D13" s="129">
        <f t="shared" ref="D13:G13" si="5">$C4/D21</f>
        <v>17.946540201521696</v>
      </c>
      <c r="E13" s="129">
        <f t="shared" si="5"/>
        <v>11.501963691476393</v>
      </c>
      <c r="F13" s="129">
        <f t="shared" si="5"/>
        <v>10.286289704755731</v>
      </c>
      <c r="G13" s="129">
        <f t="shared" si="5"/>
        <v>9.8220724776320978</v>
      </c>
    </row>
    <row r="14" spans="1:7" ht="12.75" customHeight="1" thickBot="1" x14ac:dyDescent="0.2">
      <c r="A14" s="133" t="s">
        <v>91</v>
      </c>
      <c r="B14" s="134"/>
      <c r="C14" s="122" t="str">
        <f>C2</f>
        <v>2024A</v>
      </c>
      <c r="D14" s="122" t="str">
        <f>D2</f>
        <v>2025A</v>
      </c>
      <c r="E14" s="122" t="str">
        <f>E2</f>
        <v>2026F</v>
      </c>
      <c r="F14" s="122" t="str">
        <f>F2</f>
        <v>2027F</v>
      </c>
      <c r="G14" s="135" t="str">
        <f>G2</f>
        <v>2028F</v>
      </c>
    </row>
    <row r="15" spans="1:7" ht="12.75" customHeight="1" x14ac:dyDescent="0.15">
      <c r="A15" s="124" t="s">
        <v>92</v>
      </c>
      <c r="B15" s="125"/>
      <c r="C15" s="136">
        <v>5901.4</v>
      </c>
      <c r="D15" s="136">
        <v>7769.9</v>
      </c>
      <c r="E15" s="136">
        <v>7240.4</v>
      </c>
      <c r="F15" s="136">
        <v>7074.5</v>
      </c>
      <c r="G15" s="136">
        <v>7220.6</v>
      </c>
    </row>
    <row r="16" spans="1:7" ht="12.75" customHeight="1" x14ac:dyDescent="0.15">
      <c r="A16" s="107" t="s">
        <v>93</v>
      </c>
      <c r="B16" s="137"/>
      <c r="C16" s="138">
        <v>2898.2</v>
      </c>
      <c r="D16" s="138">
        <v>1441.5</v>
      </c>
      <c r="E16" s="139">
        <f>E21-E38</f>
        <v>2546.6904971403433</v>
      </c>
      <c r="F16" s="139">
        <f t="shared" ref="F16:G16" si="6">F21-F38</f>
        <v>2835.4752529696439</v>
      </c>
      <c r="G16" s="139">
        <f t="shared" si="6"/>
        <v>2985.2383853937527</v>
      </c>
    </row>
    <row r="17" spans="1:7" ht="12.75" customHeight="1" x14ac:dyDescent="0.15">
      <c r="A17" s="107" t="s">
        <v>94</v>
      </c>
      <c r="B17" s="137"/>
      <c r="C17" s="138">
        <v>2221.1999999999998</v>
      </c>
      <c r="D17" s="138">
        <v>883.3</v>
      </c>
      <c r="E17" s="138">
        <v>1710.5</v>
      </c>
      <c r="F17" s="138">
        <v>1988.8</v>
      </c>
      <c r="G17" s="138">
        <v>2108.4</v>
      </c>
    </row>
    <row r="18" spans="1:7" ht="13.5" customHeight="1" x14ac:dyDescent="0.15">
      <c r="A18" s="107" t="str">
        <f>CONCATENATE("Net Income (t-1) - Previous FY")</f>
        <v>Net Income (t-1) - Previous FY</v>
      </c>
      <c r="C18" s="138">
        <v>1861.8</v>
      </c>
      <c r="D18" s="138">
        <v>2221.1999999999998</v>
      </c>
      <c r="E18" s="139">
        <f>D17</f>
        <v>883.3</v>
      </c>
      <c r="F18" s="139">
        <f>E17</f>
        <v>1710.5</v>
      </c>
      <c r="G18" s="139">
        <f>F17</f>
        <v>1988.8</v>
      </c>
    </row>
    <row r="19" spans="1:7" ht="13.5" customHeight="1" x14ac:dyDescent="0.15">
      <c r="A19" s="107" t="s">
        <v>227</v>
      </c>
      <c r="C19" s="138">
        <v>165.7</v>
      </c>
      <c r="D19" s="138">
        <v>190.2</v>
      </c>
      <c r="E19" s="139">
        <f>'WACC calculation'!$D$13*'Detail Data'!E34</f>
        <v>0</v>
      </c>
      <c r="F19" s="139">
        <f>'WACC calculation'!$D$13*'Detail Data'!F34</f>
        <v>0</v>
      </c>
      <c r="G19" s="139">
        <f>'WACC calculation'!$D$13*'Detail Data'!G34</f>
        <v>0</v>
      </c>
    </row>
    <row r="20" spans="1:7" ht="13.5" customHeight="1" x14ac:dyDescent="0.15">
      <c r="A20" s="107" t="s">
        <v>95</v>
      </c>
      <c r="C20" s="138">
        <v>252.7</v>
      </c>
      <c r="D20" s="138">
        <v>330.9</v>
      </c>
      <c r="E20" s="138">
        <v>597.70000000000005</v>
      </c>
      <c r="F20" s="138">
        <v>689.8</v>
      </c>
      <c r="G20" s="138">
        <v>707.8</v>
      </c>
    </row>
    <row r="21" spans="1:7" ht="12" customHeight="1" thickBot="1" x14ac:dyDescent="0.2">
      <c r="A21" s="141" t="s">
        <v>96</v>
      </c>
      <c r="B21" s="142"/>
      <c r="C21" s="353">
        <v>3353.5</v>
      </c>
      <c r="D21" s="353">
        <v>1945.2</v>
      </c>
      <c r="E21" s="353">
        <v>3035.1</v>
      </c>
      <c r="F21" s="353">
        <v>3393.8</v>
      </c>
      <c r="G21" s="354">
        <v>3554.2</v>
      </c>
    </row>
    <row r="22" spans="1:7" ht="12.75" customHeight="1" thickBot="1" x14ac:dyDescent="0.2">
      <c r="A22" s="133" t="s">
        <v>97</v>
      </c>
      <c r="B22" s="134"/>
      <c r="C22" s="123" t="str">
        <f>C2</f>
        <v>2024A</v>
      </c>
      <c r="D22" s="123" t="str">
        <f>D2</f>
        <v>2025A</v>
      </c>
      <c r="E22" s="123" t="str">
        <f>E2</f>
        <v>2026F</v>
      </c>
      <c r="F22" s="123" t="str">
        <f>F2</f>
        <v>2027F</v>
      </c>
      <c r="G22" s="29" t="str">
        <f>G2</f>
        <v>2028F</v>
      </c>
    </row>
    <row r="23" spans="1:7" ht="12.75" customHeight="1" x14ac:dyDescent="0.15">
      <c r="A23" s="124" t="s">
        <v>98</v>
      </c>
      <c r="B23" s="125"/>
      <c r="C23" s="143">
        <f>(C5-C15)/C5</f>
        <v>0.4731974683770297</v>
      </c>
      <c r="D23" s="143">
        <f>(D5-D15)/D5</f>
        <v>0.33548569180507337</v>
      </c>
      <c r="E23" s="143">
        <f>(E5-E15)/E5</f>
        <v>0.41118204367096334</v>
      </c>
      <c r="F23" s="143">
        <f>(F5-F15)/F5</f>
        <v>0.43868766612448923</v>
      </c>
      <c r="G23" s="144">
        <f>(G5-G15)/G5</f>
        <v>0.44164430594112231</v>
      </c>
    </row>
    <row r="24" spans="1:7" ht="12.75" customHeight="1" x14ac:dyDescent="0.15">
      <c r="A24" s="131" t="s">
        <v>99</v>
      </c>
      <c r="B24" s="132"/>
      <c r="C24" s="145">
        <f>C16/C5</f>
        <v>0.25871472822545372</v>
      </c>
      <c r="D24" s="145">
        <f>D16/D5</f>
        <v>0.12328310213297299</v>
      </c>
      <c r="E24" s="145">
        <f>E16/E5</f>
        <v>0.2071069407669128</v>
      </c>
      <c r="F24" s="145">
        <f>F16/F5</f>
        <v>0.22497522537149553</v>
      </c>
      <c r="G24" s="146">
        <f>G16/G5</f>
        <v>0.23084298404671802</v>
      </c>
    </row>
    <row r="25" spans="1:7" ht="12.75" customHeight="1" x14ac:dyDescent="0.15">
      <c r="A25" s="131" t="s">
        <v>100</v>
      </c>
      <c r="C25" s="145">
        <f>C17/C5</f>
        <v>0.1982807102112959</v>
      </c>
      <c r="D25" s="145">
        <f>D17/D5</f>
        <v>7.5543506149188366E-2</v>
      </c>
      <c r="E25" s="145">
        <f>E17/E5</f>
        <v>0.13910462326678322</v>
      </c>
      <c r="F25" s="145">
        <f>F17/F5</f>
        <v>0.1577974372198199</v>
      </c>
      <c r="G25" s="146">
        <f>G17/G5</f>
        <v>0.16303868727719825</v>
      </c>
    </row>
    <row r="26" spans="1:7" ht="12.75" customHeight="1" thickBot="1" x14ac:dyDescent="0.2">
      <c r="A26" s="147" t="s">
        <v>101</v>
      </c>
      <c r="B26" s="148"/>
      <c r="C26" s="149">
        <f>C21/C5</f>
        <v>0.29935816751917022</v>
      </c>
      <c r="D26" s="149">
        <f>D21/D5</f>
        <v>0.16636163043292337</v>
      </c>
      <c r="E26" s="149">
        <f>E21/E5</f>
        <v>0.2468263326962957</v>
      </c>
      <c r="F26" s="149">
        <f>F21/F5</f>
        <v>0.26927440790256674</v>
      </c>
      <c r="G26" s="150">
        <f>G21/G5</f>
        <v>0.27483973739357714</v>
      </c>
    </row>
    <row r="27" spans="1:7" ht="12.75" customHeight="1" thickBot="1" x14ac:dyDescent="0.2">
      <c r="A27" s="151" t="s">
        <v>102</v>
      </c>
      <c r="B27" s="152"/>
      <c r="C27" s="123" t="str">
        <f>C2</f>
        <v>2024A</v>
      </c>
      <c r="D27" s="123" t="str">
        <f>D2</f>
        <v>2025A</v>
      </c>
      <c r="E27" s="123" t="str">
        <f>E2</f>
        <v>2026F</v>
      </c>
      <c r="F27" s="123" t="str">
        <f>F2</f>
        <v>2027F</v>
      </c>
      <c r="G27" s="29" t="str">
        <f>G2</f>
        <v>2028F</v>
      </c>
    </row>
    <row r="28" spans="1:7" ht="12.75" customHeight="1" x14ac:dyDescent="0.15">
      <c r="A28" s="124" t="s">
        <v>103</v>
      </c>
      <c r="B28" s="125"/>
      <c r="C28" s="136">
        <v>730.7</v>
      </c>
      <c r="D28" s="136">
        <v>925.9</v>
      </c>
      <c r="E28" s="136">
        <v>1451.5</v>
      </c>
      <c r="F28" s="136">
        <v>1635.5</v>
      </c>
      <c r="G28" s="136">
        <v>1909.5</v>
      </c>
    </row>
    <row r="29" spans="1:7" ht="12.75" customHeight="1" x14ac:dyDescent="0.15">
      <c r="A29" s="127" t="s">
        <v>104</v>
      </c>
      <c r="B29" s="128"/>
      <c r="C29" s="153">
        <f>C28/C9</f>
        <v>3.5906633906633907</v>
      </c>
      <c r="D29" s="153">
        <f>D28/D9</f>
        <v>4.5521140609636186</v>
      </c>
      <c r="E29" s="153">
        <f>E28/E9</f>
        <v>7.1361848574237952</v>
      </c>
      <c r="F29" s="153">
        <f>F28/F9</f>
        <v>8.040806293018683</v>
      </c>
      <c r="G29" s="154">
        <f>G28/G9</f>
        <v>9.387905604719764</v>
      </c>
    </row>
    <row r="30" spans="1:7" ht="12.75" customHeight="1" x14ac:dyDescent="0.15">
      <c r="A30" s="127" t="s">
        <v>105</v>
      </c>
      <c r="B30" s="128"/>
      <c r="C30" s="355">
        <v>12946.9</v>
      </c>
      <c r="D30" s="355">
        <v>13741.3</v>
      </c>
      <c r="E30" s="355">
        <v>13983.3</v>
      </c>
      <c r="F30" s="355">
        <v>14093.3</v>
      </c>
      <c r="G30" s="356">
        <v>14406</v>
      </c>
    </row>
    <row r="31" spans="1:7" ht="12.75" customHeight="1" x14ac:dyDescent="0.15">
      <c r="A31" s="131" t="s">
        <v>106</v>
      </c>
      <c r="B31" s="132"/>
      <c r="C31" s="138">
        <v>3759.5</v>
      </c>
      <c r="D31" s="138">
        <v>3588.9</v>
      </c>
      <c r="E31" s="138">
        <v>4123</v>
      </c>
      <c r="F31" s="138">
        <v>4242</v>
      </c>
      <c r="G31" s="138">
        <v>4541</v>
      </c>
    </row>
    <row r="32" spans="1:7" ht="12.75" customHeight="1" x14ac:dyDescent="0.15">
      <c r="A32" s="131" t="s">
        <v>107</v>
      </c>
      <c r="B32" s="132"/>
      <c r="C32" s="138">
        <v>3929.5</v>
      </c>
      <c r="D32" s="138">
        <v>3011.9</v>
      </c>
      <c r="E32" s="138">
        <v>3261.5</v>
      </c>
      <c r="F32" s="138">
        <v>3192.5</v>
      </c>
      <c r="G32" s="138">
        <v>3195.5</v>
      </c>
    </row>
    <row r="33" spans="1:10" ht="12.75" customHeight="1" x14ac:dyDescent="0.15">
      <c r="A33" s="131" t="s">
        <v>108</v>
      </c>
      <c r="B33" s="132"/>
      <c r="C33" s="139">
        <f t="shared" ref="C33:G33" si="7">C31-C32</f>
        <v>-170</v>
      </c>
      <c r="D33" s="139">
        <f>D31-D32</f>
        <v>577</v>
      </c>
      <c r="E33" s="139">
        <f t="shared" si="7"/>
        <v>861.5</v>
      </c>
      <c r="F33" s="139">
        <f t="shared" si="7"/>
        <v>1049.5</v>
      </c>
      <c r="G33" s="140">
        <f t="shared" si="7"/>
        <v>1345.5</v>
      </c>
    </row>
    <row r="34" spans="1:10" ht="12.75" customHeight="1" x14ac:dyDescent="0.15">
      <c r="A34" s="131" t="s">
        <v>109</v>
      </c>
      <c r="C34" s="138">
        <v>3190.2</v>
      </c>
      <c r="D34" s="138">
        <v>4681.2</v>
      </c>
      <c r="E34" s="355">
        <v>4693.7</v>
      </c>
      <c r="F34" s="355">
        <v>4627</v>
      </c>
      <c r="G34" s="356">
        <v>4560.3</v>
      </c>
    </row>
    <row r="35" spans="1:10" ht="12.75" customHeight="1" thickBot="1" x14ac:dyDescent="0.2">
      <c r="A35" s="147" t="s">
        <v>110</v>
      </c>
      <c r="B35" s="92"/>
      <c r="C35" s="156">
        <v>4714.7</v>
      </c>
      <c r="D35" s="156">
        <v>4636.8</v>
      </c>
      <c r="E35" s="353">
        <v>4780.2</v>
      </c>
      <c r="F35" s="353">
        <v>5081.8</v>
      </c>
      <c r="G35" s="354">
        <v>5441.8</v>
      </c>
    </row>
    <row r="36" spans="1:10" ht="12.75" customHeight="1" thickBot="1" x14ac:dyDescent="0.2">
      <c r="A36" s="151" t="s">
        <v>111</v>
      </c>
      <c r="B36" s="152"/>
      <c r="C36" s="123" t="str">
        <f>C2</f>
        <v>2024A</v>
      </c>
      <c r="D36" s="123" t="str">
        <f>D2</f>
        <v>2025A</v>
      </c>
      <c r="E36" s="123" t="str">
        <f>E2</f>
        <v>2026F</v>
      </c>
      <c r="F36" s="123" t="str">
        <f>F2</f>
        <v>2027F</v>
      </c>
      <c r="G36" s="29" t="str">
        <f>G2</f>
        <v>2028F</v>
      </c>
    </row>
    <row r="37" spans="1:10" x14ac:dyDescent="0.15">
      <c r="A37" s="88" t="s">
        <v>112</v>
      </c>
      <c r="C37" s="138"/>
      <c r="D37" s="138"/>
      <c r="E37" s="139">
        <f>E16*(1-E20/E16)</f>
        <v>1948.9904971403432</v>
      </c>
      <c r="F37" s="139">
        <f t="shared" ref="F37:G37" si="8">F16*(1-F20/F16)</f>
        <v>2145.6752529696437</v>
      </c>
      <c r="G37" s="139">
        <f t="shared" si="8"/>
        <v>2277.4383853937525</v>
      </c>
    </row>
    <row r="38" spans="1:10" ht="12.75" customHeight="1" x14ac:dyDescent="0.15">
      <c r="A38" s="131" t="s">
        <v>113</v>
      </c>
      <c r="B38" s="132"/>
      <c r="C38" s="138">
        <v>455.3</v>
      </c>
      <c r="D38" s="138">
        <v>503.7</v>
      </c>
      <c r="E38" s="139">
        <f>D38/D40*E40</f>
        <v>488.40950285965675</v>
      </c>
      <c r="F38" s="139">
        <f t="shared" ref="F38:G38" si="9">E38/E40*F40</f>
        <v>558.32474703035621</v>
      </c>
      <c r="G38" s="139">
        <f t="shared" si="9"/>
        <v>568.96161460624717</v>
      </c>
    </row>
    <row r="39" spans="1:10" ht="12.75" customHeight="1" x14ac:dyDescent="0.15">
      <c r="A39" s="131" t="s">
        <v>114</v>
      </c>
      <c r="C39" s="138"/>
      <c r="D39" s="138"/>
      <c r="E39" s="139">
        <f>E33-D33</f>
        <v>284.5</v>
      </c>
      <c r="F39" s="139">
        <f t="shared" ref="F39:G39" si="10">F33-E33</f>
        <v>188</v>
      </c>
      <c r="G39" s="139">
        <f t="shared" si="10"/>
        <v>296</v>
      </c>
    </row>
    <row r="40" spans="1:10" ht="12.75" customHeight="1" x14ac:dyDescent="0.15">
      <c r="A40" s="131" t="s">
        <v>115</v>
      </c>
      <c r="B40" s="132"/>
      <c r="C40" s="138">
        <v>605.9</v>
      </c>
      <c r="D40" s="138">
        <v>454.6</v>
      </c>
      <c r="E40" s="355">
        <v>440.8</v>
      </c>
      <c r="F40" s="355">
        <v>503.9</v>
      </c>
      <c r="G40" s="355">
        <v>513.5</v>
      </c>
    </row>
    <row r="41" spans="1:10" ht="12.75" customHeight="1" x14ac:dyDescent="0.15">
      <c r="A41" s="131" t="s">
        <v>116</v>
      </c>
      <c r="B41" s="131" t="s">
        <v>225</v>
      </c>
      <c r="D41" s="138"/>
      <c r="E41" s="139">
        <f>E37+E38-E39-E40</f>
        <v>1712.1000000000001</v>
      </c>
      <c r="F41" s="139">
        <f t="shared" ref="F41:G41" si="11">F37+F38-F39-F40</f>
        <v>2012.1</v>
      </c>
      <c r="G41" s="139">
        <f t="shared" si="11"/>
        <v>2036.8999999999996</v>
      </c>
    </row>
    <row r="42" spans="1:10" ht="12.75" customHeight="1" x14ac:dyDescent="0.15">
      <c r="A42" s="131" t="s">
        <v>224</v>
      </c>
      <c r="B42" s="131" t="s">
        <v>226</v>
      </c>
      <c r="D42" s="138"/>
      <c r="E42" s="139">
        <f>E41+E19*(1-'DCF 1-Pager'!E25)+'Detail Data'!E34-'Detail Data'!D34</f>
        <v>1724.6000000000004</v>
      </c>
      <c r="F42" s="139">
        <f>F41+F19*(1-'DCF 1-Pager'!F25)+'Detail Data'!F34-'Detail Data'!E34</f>
        <v>1945.4000000000005</v>
      </c>
      <c r="G42" s="139">
        <f>G41+G19*(1-'DCF 1-Pager'!G25)+'Detail Data'!G34-'Detail Data'!F34</f>
        <v>1970.1999999999998</v>
      </c>
    </row>
    <row r="43" spans="1:10" ht="12.75" customHeight="1" x14ac:dyDescent="0.15"/>
    <row r="44" spans="1:10" ht="12.75" customHeight="1" x14ac:dyDescent="0.15">
      <c r="A44" s="88" t="s">
        <v>247</v>
      </c>
      <c r="D44" s="349">
        <f>(D33+D40)/D17</f>
        <v>1.1678931280425675</v>
      </c>
      <c r="E44" s="349">
        <f t="shared" ref="E44:G44" si="12">(E33+E40)/E17</f>
        <v>0.7613563285589009</v>
      </c>
      <c r="F44" s="349">
        <f t="shared" si="12"/>
        <v>0.78107401448109415</v>
      </c>
      <c r="G44" s="349">
        <f t="shared" si="12"/>
        <v>0.88171125023714658</v>
      </c>
    </row>
    <row r="45" spans="1:10" ht="12.75" customHeight="1" x14ac:dyDescent="0.15">
      <c r="A45" s="88" t="s">
        <v>243</v>
      </c>
      <c r="C45" s="349">
        <f>C34/C3</f>
        <v>9.8310914816621575E-2</v>
      </c>
      <c r="D45" s="349">
        <f>D34/D3</f>
        <v>0.1443292942589795</v>
      </c>
      <c r="E45" s="349">
        <f t="shared" ref="E45:G45" si="13">E34/E3</f>
        <v>0.14471469034934889</v>
      </c>
      <c r="F45" s="349">
        <f t="shared" si="13"/>
        <v>0.14265821681113777</v>
      </c>
      <c r="G45" s="349">
        <f t="shared" si="13"/>
        <v>0.14060174327292665</v>
      </c>
    </row>
    <row r="46" spans="1:10" ht="12.75" customHeight="1" x14ac:dyDescent="0.15">
      <c r="A46" s="88" t="s">
        <v>60</v>
      </c>
      <c r="D46" s="349">
        <f>D17/D35</f>
        <v>0.190497757073844</v>
      </c>
      <c r="E46" s="349">
        <f t="shared" ref="E46:G46" si="14">E17/E35</f>
        <v>0.35783021630894107</v>
      </c>
      <c r="F46" s="349">
        <f t="shared" si="14"/>
        <v>0.39135739304970679</v>
      </c>
      <c r="G46" s="349">
        <f t="shared" si="14"/>
        <v>0.38744533058914332</v>
      </c>
      <c r="J46" s="88" t="s">
        <v>263</v>
      </c>
    </row>
    <row r="47" spans="1:10" ht="12.75" customHeight="1" x14ac:dyDescent="0.15">
      <c r="A47" s="88" t="s">
        <v>246</v>
      </c>
      <c r="D47" s="349">
        <f>D16*(1-'DCF 1-Pager'!D25)/(C34+C35-C28)</f>
        <v>0.12565697674677329</v>
      </c>
      <c r="E47" s="349">
        <f>E16*(1-'DCF 1-Pager'!E25)/(D34+D35-D28)</f>
        <v>0.23224109545171567</v>
      </c>
      <c r="F47" s="349">
        <f>F16*(1-'DCF 1-Pager'!F25)/(E34+E35-E28)</f>
        <v>0.26746051717312075</v>
      </c>
      <c r="G47" s="349">
        <f>G16*(1-'DCF 1-Pager'!G25)/(F34+F35-F28)</f>
        <v>0.28209510180394048</v>
      </c>
      <c r="J47" s="88" t="s">
        <v>264</v>
      </c>
    </row>
    <row r="48" spans="1:10" ht="12.75" customHeight="1" x14ac:dyDescent="0.15"/>
    <row r="49" spans="1:7" ht="12.75" customHeight="1" x14ac:dyDescent="0.15">
      <c r="A49" s="88" t="s">
        <v>249</v>
      </c>
      <c r="D49" s="378">
        <f>D46*D44</f>
        <v>0.22248102139406481</v>
      </c>
      <c r="E49" s="349">
        <f t="shared" ref="E49:G49" si="15">E46*E44</f>
        <v>0.2724362997364127</v>
      </c>
      <c r="F49" s="349">
        <f t="shared" si="15"/>
        <v>0.30567909008618993</v>
      </c>
      <c r="G49" s="349">
        <f t="shared" si="15"/>
        <v>0.34161490683229812</v>
      </c>
    </row>
    <row r="50" spans="1:7" ht="12.75" customHeight="1" x14ac:dyDescent="0.15">
      <c r="A50" s="88" t="s">
        <v>248</v>
      </c>
      <c r="D50" s="349">
        <f>D47*D44</f>
        <v>0.14675391963316123</v>
      </c>
      <c r="E50" s="349">
        <f t="shared" ref="E50:G50" si="16">E47*E44</f>
        <v>0.1768182277736155</v>
      </c>
      <c r="F50" s="349">
        <f t="shared" si="16"/>
        <v>0.20890645986359904</v>
      </c>
      <c r="G50" s="349">
        <f t="shared" si="16"/>
        <v>0.24872642489732752</v>
      </c>
    </row>
    <row r="51" spans="1:7" ht="12.75" customHeight="1" x14ac:dyDescent="0.15"/>
    <row r="52" spans="1:7" ht="12.75" customHeight="1" x14ac:dyDescent="0.15">
      <c r="A52" s="88" t="s">
        <v>250</v>
      </c>
      <c r="B52" s="88">
        <v>0.03</v>
      </c>
    </row>
    <row r="53" spans="1:7" ht="12.75" customHeight="1" x14ac:dyDescent="0.15">
      <c r="A53" s="88" t="s">
        <v>252</v>
      </c>
      <c r="D53" s="349">
        <f>$B$52/D46</f>
        <v>0.15748216913845808</v>
      </c>
      <c r="E53" s="349">
        <f t="shared" ref="E53:G54" si="17">$B$52/E46</f>
        <v>8.3838643671441088E-2</v>
      </c>
      <c r="F53" s="349">
        <f t="shared" si="17"/>
        <v>7.6656275140788419E-2</v>
      </c>
      <c r="G53" s="349">
        <f t="shared" si="17"/>
        <v>7.7430278884462148E-2</v>
      </c>
    </row>
    <row r="54" spans="1:7" ht="12.75" customHeight="1" x14ac:dyDescent="0.15">
      <c r="A54" s="88" t="s">
        <v>251</v>
      </c>
      <c r="D54" s="349">
        <f>$B$52/D47</f>
        <v>0.23874519964344409</v>
      </c>
      <c r="E54" s="349">
        <f t="shared" si="17"/>
        <v>0.12917610443426961</v>
      </c>
      <c r="F54" s="349">
        <f t="shared" si="17"/>
        <v>0.11216608835232948</v>
      </c>
      <c r="G54" s="349">
        <f t="shared" si="17"/>
        <v>0.10634711417587946</v>
      </c>
    </row>
    <row r="55" spans="1:7" ht="12.75" customHeight="1" x14ac:dyDescent="0.15"/>
    <row r="56" spans="1:7" ht="12.75" customHeight="1" x14ac:dyDescent="0.15">
      <c r="A56" s="88" t="s">
        <v>253</v>
      </c>
      <c r="D56" s="155">
        <f>D16/D19</f>
        <v>7.5788643533123032</v>
      </c>
      <c r="E56" s="155" t="e">
        <f t="shared" ref="E56:G56" si="18">E16/E19</f>
        <v>#DIV/0!</v>
      </c>
      <c r="F56" s="155" t="e">
        <f t="shared" si="18"/>
        <v>#DIV/0!</v>
      </c>
      <c r="G56" s="155" t="e">
        <f t="shared" si="18"/>
        <v>#DIV/0!</v>
      </c>
    </row>
    <row r="57" spans="1:7" ht="12.75" customHeight="1" x14ac:dyDescent="0.15">
      <c r="D57" s="155"/>
      <c r="F57" s="132"/>
      <c r="G57" s="157"/>
    </row>
    <row r="58" spans="1:7" ht="12.75" customHeight="1" x14ac:dyDescent="0.15">
      <c r="D58" s="155"/>
      <c r="F58" s="132"/>
      <c r="G58" s="158"/>
    </row>
    <row r="59" spans="1:7" ht="12.75" customHeight="1" x14ac:dyDescent="0.15">
      <c r="D59" s="155"/>
      <c r="F59" s="132"/>
      <c r="G59" s="159"/>
    </row>
    <row r="60" spans="1:7" ht="12.75" customHeight="1" x14ac:dyDescent="0.15">
      <c r="D60" s="155"/>
      <c r="F60" s="132"/>
      <c r="G60" s="159"/>
    </row>
    <row r="61" spans="1:7" ht="12.75" customHeight="1" x14ac:dyDescent="0.15">
      <c r="D61" s="155"/>
      <c r="F61" s="132"/>
      <c r="G61" s="159"/>
    </row>
    <row r="62" spans="1:7" ht="12.75" customHeight="1" x14ac:dyDescent="0.15">
      <c r="D62" s="160"/>
      <c r="F62" s="132"/>
      <c r="G62" s="159"/>
    </row>
    <row r="63" spans="1:7" ht="12.75" customHeight="1" x14ac:dyDescent="0.15"/>
    <row r="64" spans="1:7" ht="12.75" customHeight="1" x14ac:dyDescent="0.15">
      <c r="A64" s="161"/>
    </row>
    <row r="65" spans="1:1" ht="12.75" customHeight="1" x14ac:dyDescent="0.15">
      <c r="A65" s="161"/>
    </row>
    <row r="66" spans="1:1" ht="12.75" customHeight="1" x14ac:dyDescent="0.15">
      <c r="A66" s="161"/>
    </row>
    <row r="67" spans="1:1" ht="12.75" customHeight="1" x14ac:dyDescent="0.15"/>
    <row r="68" spans="1:1" ht="12.75" customHeight="1" x14ac:dyDescent="0.15"/>
    <row r="69" spans="1:1" ht="12.75" customHeight="1" x14ac:dyDescent="0.15"/>
    <row r="70" spans="1:1" ht="12.75" customHeight="1" x14ac:dyDescent="0.15"/>
    <row r="71" spans="1:1" ht="12.75" customHeight="1" x14ac:dyDescent="0.15"/>
    <row r="72" spans="1:1" ht="12.75" customHeight="1" x14ac:dyDescent="0.15"/>
    <row r="73" spans="1:1" ht="12.75" customHeight="1" x14ac:dyDescent="0.15"/>
    <row r="74" spans="1:1" ht="12" customHeight="1" x14ac:dyDescent="0.15"/>
    <row r="75" spans="1:1" ht="12" customHeight="1" x14ac:dyDescent="0.15"/>
  </sheetData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240A-A520-4081-981A-B596F7626908}">
  <sheetPr>
    <tabColor theme="6"/>
  </sheetPr>
  <dimension ref="B1:V156"/>
  <sheetViews>
    <sheetView topLeftCell="A82" zoomScale="142" zoomScaleNormal="142" workbookViewId="0">
      <selection activeCell="I93" sqref="I93:I98"/>
    </sheetView>
  </sheetViews>
  <sheetFormatPr baseColWidth="10" defaultColWidth="8" defaultRowHeight="15" x14ac:dyDescent="0.2"/>
  <cols>
    <col min="1" max="1" width="1.1640625" style="162" customWidth="1"/>
    <col min="2" max="2" width="47.6640625" style="162" customWidth="1"/>
    <col min="3" max="3" width="23.83203125" style="162" customWidth="1"/>
    <col min="4" max="4" width="11.1640625" style="162" customWidth="1"/>
    <col min="5" max="8" width="12.6640625" style="162" customWidth="1"/>
    <col min="9" max="9" width="11.1640625" style="162" customWidth="1"/>
    <col min="10" max="10" width="1.5" style="162" customWidth="1"/>
    <col min="11" max="11" width="10.6640625" style="162" bestFit="1" customWidth="1"/>
    <col min="12" max="12" width="8.1640625" style="162" customWidth="1"/>
    <col min="13" max="13" width="20" style="162" bestFit="1" customWidth="1"/>
    <col min="14" max="14" width="22.5" style="162" bestFit="1" customWidth="1"/>
    <col min="15" max="15" width="8.1640625" style="162" customWidth="1"/>
    <col min="16" max="16" width="14.5" style="162" customWidth="1"/>
    <col min="17" max="17" width="12.1640625" style="162" bestFit="1" customWidth="1"/>
    <col min="18" max="20" width="22" style="162" bestFit="1" customWidth="1"/>
    <col min="21" max="21" width="18.5" style="162" bestFit="1" customWidth="1"/>
    <col min="22" max="22" width="13.6640625" style="162" bestFit="1" customWidth="1"/>
    <col min="23" max="16384" width="8" style="162"/>
  </cols>
  <sheetData>
    <row r="1" spans="2:22" ht="16" thickBot="1" x14ac:dyDescent="0.25"/>
    <row r="2" spans="2:22" ht="16" thickBot="1" x14ac:dyDescent="0.25">
      <c r="B2" s="163" t="s">
        <v>117</v>
      </c>
      <c r="C2" s="164"/>
      <c r="D2" s="164"/>
      <c r="E2" s="164"/>
      <c r="F2" s="164"/>
      <c r="G2" s="164"/>
      <c r="H2" s="164"/>
      <c r="I2" s="164"/>
    </row>
    <row r="3" spans="2:22" ht="21" x14ac:dyDescent="0.25">
      <c r="B3" s="165" t="s">
        <v>118</v>
      </c>
      <c r="L3" s="401" t="s">
        <v>236</v>
      </c>
      <c r="M3" s="402"/>
      <c r="N3" s="403"/>
      <c r="P3" s="404" t="s">
        <v>278</v>
      </c>
      <c r="Q3" s="405"/>
      <c r="R3" s="405"/>
      <c r="S3" s="405"/>
      <c r="T3" s="405"/>
      <c r="U3" s="405"/>
      <c r="V3" s="406"/>
    </row>
    <row r="4" spans="2:22" ht="21" x14ac:dyDescent="0.25">
      <c r="B4" s="162" t="s">
        <v>119</v>
      </c>
      <c r="D4" s="162" t="str">
        <f>FrontPage!A1</f>
        <v>The Hershey Company (HSY)</v>
      </c>
      <c r="L4" s="339"/>
      <c r="M4" s="399" t="s">
        <v>239</v>
      </c>
      <c r="N4" s="400"/>
      <c r="P4" s="371"/>
      <c r="Q4" s="372"/>
      <c r="R4" s="372" t="s">
        <v>273</v>
      </c>
      <c r="S4" s="372" t="s">
        <v>274</v>
      </c>
      <c r="T4" s="372" t="s">
        <v>275</v>
      </c>
      <c r="U4" s="372" t="s">
        <v>276</v>
      </c>
      <c r="V4" s="373" t="s">
        <v>277</v>
      </c>
    </row>
    <row r="5" spans="2:22" ht="22" thickBot="1" x14ac:dyDescent="0.3">
      <c r="B5" s="162" t="s">
        <v>120</v>
      </c>
      <c r="D5" s="162" t="str">
        <f>FrontPage!C2</f>
        <v>HSY</v>
      </c>
      <c r="L5" s="343"/>
      <c r="M5" s="369" t="s">
        <v>240</v>
      </c>
      <c r="N5" s="370" t="s">
        <v>271</v>
      </c>
      <c r="P5" s="371" t="s">
        <v>272</v>
      </c>
      <c r="Q5" s="372" t="e">
        <f>AVERAGE('Relative Valuation'!D4:D6)</f>
        <v>#DIV/0!</v>
      </c>
      <c r="R5" s="372">
        <f>D21-D24</f>
        <v>901.48828257670107</v>
      </c>
      <c r="S5" s="372" t="e">
        <f>R5*Q5</f>
        <v>#DIV/0!</v>
      </c>
      <c r="T5" s="372" t="e">
        <f>S5</f>
        <v>#DIV/0!</v>
      </c>
      <c r="U5" s="372">
        <f>I65</f>
        <v>207154.37400000001</v>
      </c>
      <c r="V5" s="374" t="e">
        <f>T5/U5</f>
        <v>#DIV/0!</v>
      </c>
    </row>
    <row r="6" spans="2:22" ht="18.75" customHeight="1" x14ac:dyDescent="0.25">
      <c r="B6" s="162" t="s">
        <v>121</v>
      </c>
      <c r="D6" s="166">
        <v>46022</v>
      </c>
      <c r="F6" s="162" t="s">
        <v>122</v>
      </c>
      <c r="H6" s="167">
        <f>'WACC calculation'!D16</f>
        <v>0</v>
      </c>
      <c r="L6" s="340"/>
      <c r="M6" s="337"/>
      <c r="N6" s="341"/>
      <c r="P6" s="371" t="s">
        <v>90</v>
      </c>
      <c r="Q6" s="372" t="e">
        <f>AVERAGE('Relative Valuation'!C4:C6)</f>
        <v>#DIV/0!</v>
      </c>
      <c r="R6" s="372">
        <f>D19</f>
        <v>1945.2</v>
      </c>
      <c r="S6" s="372" t="e">
        <f>R6*Q6</f>
        <v>#DIV/0!</v>
      </c>
      <c r="T6" s="372" t="e">
        <f>S6-C69</f>
        <v>#DIV/0!</v>
      </c>
      <c r="U6" s="372">
        <f>U5</f>
        <v>207154.37400000001</v>
      </c>
      <c r="V6" s="374" t="e">
        <f t="shared" ref="V6:V7" si="0">T6/U6</f>
        <v>#DIV/0!</v>
      </c>
    </row>
    <row r="7" spans="2:22" ht="22" thickBot="1" x14ac:dyDescent="0.3">
      <c r="B7" s="162" t="s">
        <v>123</v>
      </c>
      <c r="D7" s="168">
        <f>EOMONTH(D6,12)</f>
        <v>46387</v>
      </c>
      <c r="F7" s="162" t="s">
        <v>124</v>
      </c>
      <c r="H7" s="169">
        <f>FrontPage!C3</f>
        <v>159.46</v>
      </c>
      <c r="L7" s="339" t="s">
        <v>237</v>
      </c>
      <c r="M7" s="338">
        <f>C77</f>
        <v>-1.8128026589484418E-2</v>
      </c>
      <c r="N7" s="342">
        <f>D77</f>
        <v>-1.8128026589484418E-2</v>
      </c>
      <c r="P7" s="375" t="s">
        <v>270</v>
      </c>
      <c r="Q7" s="376" t="e">
        <f>AVERAGE('Relative Valuation'!E4:E6)</f>
        <v>#DIV/0!</v>
      </c>
      <c r="R7" s="376">
        <f>D17</f>
        <v>11692.6</v>
      </c>
      <c r="S7" s="376" t="e">
        <f>R7*Q7</f>
        <v>#DIV/0!</v>
      </c>
      <c r="T7" s="376" t="e">
        <f>S7-C69</f>
        <v>#DIV/0!</v>
      </c>
      <c r="U7" s="376">
        <f>U6</f>
        <v>207154.37400000001</v>
      </c>
      <c r="V7" s="377" t="e">
        <f t="shared" si="0"/>
        <v>#DIV/0!</v>
      </c>
    </row>
    <row r="8" spans="2:22" ht="22" thickBot="1" x14ac:dyDescent="0.3">
      <c r="B8" s="162" t="s">
        <v>125</v>
      </c>
      <c r="D8" s="166">
        <v>46203</v>
      </c>
      <c r="F8" s="162" t="s">
        <v>126</v>
      </c>
      <c r="H8" s="170">
        <f>D9</f>
        <v>46299</v>
      </c>
      <c r="J8" s="171"/>
      <c r="L8" s="343" t="s">
        <v>238</v>
      </c>
      <c r="M8" s="344">
        <f>C108</f>
        <v>0</v>
      </c>
      <c r="N8" s="345">
        <f>D108</f>
        <v>0</v>
      </c>
    </row>
    <row r="9" spans="2:22" x14ac:dyDescent="0.2">
      <c r="B9" s="162" t="s">
        <v>127</v>
      </c>
      <c r="D9" s="166">
        <f>FrontPage!C4</f>
        <v>46299</v>
      </c>
      <c r="F9" s="162" t="s">
        <v>128</v>
      </c>
      <c r="H9" s="172">
        <v>0</v>
      </c>
      <c r="I9" s="171"/>
      <c r="J9" s="171"/>
    </row>
    <row r="10" spans="2:22" x14ac:dyDescent="0.2">
      <c r="B10" s="162" t="s">
        <v>129</v>
      </c>
      <c r="D10" s="173">
        <f>YEARFRAC(D9,D7)</f>
        <v>0.24166666666666667</v>
      </c>
    </row>
    <row r="11" spans="2:22" ht="16" thickBot="1" x14ac:dyDescent="0.25">
      <c r="D11" s="174"/>
    </row>
    <row r="12" spans="2:22" ht="24" x14ac:dyDescent="0.3">
      <c r="B12" s="295" t="s">
        <v>235</v>
      </c>
      <c r="C12" s="237"/>
      <c r="D12" s="335"/>
      <c r="E12" s="237"/>
      <c r="F12" s="237"/>
      <c r="G12" s="237"/>
      <c r="H12" s="237"/>
      <c r="I12" s="237"/>
      <c r="J12" s="239"/>
    </row>
    <row r="13" spans="2:22" x14ac:dyDescent="0.2">
      <c r="B13" s="242" t="s">
        <v>130</v>
      </c>
      <c r="J13" s="255"/>
    </row>
    <row r="14" spans="2:22" ht="17.25" customHeight="1" x14ac:dyDescent="0.35">
      <c r="B14" s="245"/>
      <c r="C14" s="177"/>
      <c r="D14" s="177" t="s">
        <v>131</v>
      </c>
      <c r="E14" s="398" t="s">
        <v>132</v>
      </c>
      <c r="F14" s="398"/>
      <c r="G14" s="398"/>
      <c r="H14" s="177"/>
      <c r="I14" s="177"/>
      <c r="J14" s="255"/>
    </row>
    <row r="15" spans="2:22" x14ac:dyDescent="0.2">
      <c r="B15" s="281" t="s">
        <v>133</v>
      </c>
      <c r="C15" s="297"/>
      <c r="D15" s="329" t="str">
        <f>'Detail Data'!D2</f>
        <v>2025A</v>
      </c>
      <c r="E15" s="329" t="str">
        <f>'Detail Data'!E2</f>
        <v>2026F</v>
      </c>
      <c r="F15" s="329" t="str">
        <f>'Detail Data'!F2</f>
        <v>2027F</v>
      </c>
      <c r="G15" s="329" t="str">
        <f>'Detail Data'!G2</f>
        <v>2028F</v>
      </c>
      <c r="H15" s="329"/>
      <c r="I15" s="329"/>
      <c r="J15" s="255"/>
    </row>
    <row r="16" spans="2:22" x14ac:dyDescent="0.2">
      <c r="B16" s="281"/>
      <c r="D16" s="330"/>
      <c r="E16" s="298"/>
      <c r="F16" s="298"/>
      <c r="G16" s="298"/>
      <c r="H16" s="298"/>
      <c r="I16" s="298"/>
      <c r="J16" s="255"/>
    </row>
    <row r="17" spans="2:13" x14ac:dyDescent="0.2">
      <c r="B17" s="245" t="s">
        <v>134</v>
      </c>
      <c r="C17" s="262"/>
      <c r="D17" s="302">
        <f>'Detail Data'!D5</f>
        <v>11692.6</v>
      </c>
      <c r="E17" s="262">
        <f>'Detail Data'!E5</f>
        <v>12296.5</v>
      </c>
      <c r="F17" s="262">
        <f>'Detail Data'!F5</f>
        <v>12603.5</v>
      </c>
      <c r="G17" s="262">
        <f>'Detail Data'!G5</f>
        <v>12931.9</v>
      </c>
      <c r="H17" s="262"/>
      <c r="I17" s="262"/>
      <c r="J17" s="255"/>
    </row>
    <row r="18" spans="2:13" x14ac:dyDescent="0.2">
      <c r="B18" s="282" t="s">
        <v>135</v>
      </c>
      <c r="E18" s="299">
        <f>E17/D17-1</f>
        <v>5.1648050903990494E-2</v>
      </c>
      <c r="F18" s="299">
        <f t="shared" ref="F18:G18" si="1">F17/E17-1</f>
        <v>2.4966453868987104E-2</v>
      </c>
      <c r="G18" s="299">
        <f t="shared" si="1"/>
        <v>2.6056254215099051E-2</v>
      </c>
      <c r="H18" s="257"/>
      <c r="I18" s="257"/>
      <c r="J18" s="255"/>
      <c r="K18" s="257"/>
    </row>
    <row r="19" spans="2:13" x14ac:dyDescent="0.2">
      <c r="B19" s="245" t="s">
        <v>96</v>
      </c>
      <c r="C19" s="262"/>
      <c r="D19" s="302">
        <f>'Detail Data'!D21</f>
        <v>1945.2</v>
      </c>
      <c r="E19" s="262">
        <f>'Detail Data'!E21</f>
        <v>3035.1</v>
      </c>
      <c r="F19" s="262">
        <f>'Detail Data'!F21</f>
        <v>3393.8</v>
      </c>
      <c r="G19" s="262">
        <f>'Detail Data'!G21</f>
        <v>3554.2</v>
      </c>
      <c r="H19" s="262"/>
      <c r="I19" s="262"/>
      <c r="J19" s="255"/>
    </row>
    <row r="20" spans="2:13" x14ac:dyDescent="0.2">
      <c r="B20" s="282" t="s">
        <v>136</v>
      </c>
      <c r="D20" s="173">
        <f>D19/D17</f>
        <v>0.16636163043292337</v>
      </c>
      <c r="E20" s="173">
        <f t="shared" ref="E20:G20" si="2">E19/E17</f>
        <v>0.2468263326962957</v>
      </c>
      <c r="F20" s="173">
        <f t="shared" si="2"/>
        <v>0.26927440790256674</v>
      </c>
      <c r="G20" s="173">
        <f t="shared" si="2"/>
        <v>0.27483973739357714</v>
      </c>
      <c r="H20" s="257"/>
      <c r="I20" s="257"/>
      <c r="J20" s="255"/>
    </row>
    <row r="21" spans="2:13" x14ac:dyDescent="0.2">
      <c r="B21" s="245" t="s">
        <v>137</v>
      </c>
      <c r="D21" s="302">
        <f>'Detail Data'!D16</f>
        <v>1441.5</v>
      </c>
      <c r="E21" s="262">
        <f>'Detail Data'!E16</f>
        <v>2546.6904971403433</v>
      </c>
      <c r="F21" s="262">
        <f>'Detail Data'!F16</f>
        <v>2835.4752529696439</v>
      </c>
      <c r="G21" s="262">
        <f>'Detail Data'!G16</f>
        <v>2985.2383853937527</v>
      </c>
      <c r="H21" s="262"/>
      <c r="I21" s="262"/>
      <c r="J21" s="255"/>
    </row>
    <row r="22" spans="2:13" x14ac:dyDescent="0.2">
      <c r="B22" s="282" t="s">
        <v>136</v>
      </c>
      <c r="D22" s="173">
        <f>D21/D17</f>
        <v>0.12328310213297299</v>
      </c>
      <c r="E22" s="173">
        <f t="shared" ref="E22:G22" si="3">E21/E17</f>
        <v>0.2071069407669128</v>
      </c>
      <c r="F22" s="173">
        <f t="shared" si="3"/>
        <v>0.22497522537149553</v>
      </c>
      <c r="G22" s="173">
        <f t="shared" si="3"/>
        <v>0.23084298404671802</v>
      </c>
      <c r="H22" s="257"/>
      <c r="I22" s="257"/>
      <c r="J22" s="255"/>
    </row>
    <row r="23" spans="2:13" x14ac:dyDescent="0.2">
      <c r="B23" s="282"/>
      <c r="D23" s="300"/>
      <c r="E23" s="300"/>
      <c r="F23" s="300"/>
      <c r="G23" s="300"/>
      <c r="H23" s="300"/>
      <c r="I23" s="300"/>
      <c r="J23" s="255"/>
    </row>
    <row r="24" spans="2:13" ht="15" customHeight="1" x14ac:dyDescent="0.2">
      <c r="B24" s="245" t="s">
        <v>138</v>
      </c>
      <c r="C24" s="262"/>
      <c r="D24" s="262">
        <f>D25*D21</f>
        <v>540.01171742329893</v>
      </c>
      <c r="E24" s="262">
        <f>'Detail Data'!E20</f>
        <v>597.70000000000005</v>
      </c>
      <c r="F24" s="262">
        <f>'Detail Data'!F20</f>
        <v>689.8</v>
      </c>
      <c r="G24" s="262">
        <f>'Detail Data'!G20</f>
        <v>707.8</v>
      </c>
      <c r="H24" s="262"/>
      <c r="I24" s="262"/>
      <c r="J24" s="255"/>
    </row>
    <row r="25" spans="2:13" ht="15" customHeight="1" x14ac:dyDescent="0.2">
      <c r="B25" s="282" t="s">
        <v>139</v>
      </c>
      <c r="D25" s="331">
        <f>'Detail Data'!D20/'Detail Data'!D17</f>
        <v>0.37461791010981543</v>
      </c>
      <c r="E25" s="331">
        <f>E24/E21</f>
        <v>0.23469675670096238</v>
      </c>
      <c r="F25" s="331">
        <f t="shared" ref="F25:G25" si="4">F24/F21</f>
        <v>0.24327491459414435</v>
      </c>
      <c r="G25" s="331">
        <f t="shared" si="4"/>
        <v>0.23709999290614148</v>
      </c>
      <c r="H25" s="331"/>
      <c r="I25" s="331"/>
      <c r="J25" s="255"/>
    </row>
    <row r="26" spans="2:13" ht="15" customHeight="1" x14ac:dyDescent="0.2">
      <c r="B26" s="242" t="s">
        <v>140</v>
      </c>
      <c r="C26" s="178"/>
      <c r="D26" s="253">
        <f t="shared" ref="D26:G26" si="5">D21-D24</f>
        <v>901.48828257670107</v>
      </c>
      <c r="E26" s="253">
        <f>E21-E24</f>
        <v>1948.9904971403432</v>
      </c>
      <c r="F26" s="253">
        <f t="shared" si="5"/>
        <v>2145.6752529696441</v>
      </c>
      <c r="G26" s="253">
        <f t="shared" si="5"/>
        <v>2277.4383853937525</v>
      </c>
      <c r="H26" s="253"/>
      <c r="I26" s="253"/>
      <c r="J26" s="255"/>
    </row>
    <row r="27" spans="2:13" x14ac:dyDescent="0.2">
      <c r="B27" s="245"/>
      <c r="D27" s="262"/>
      <c r="E27" s="262"/>
      <c r="F27" s="262"/>
      <c r="G27" s="262"/>
      <c r="H27" s="262"/>
      <c r="I27" s="262"/>
      <c r="J27" s="255"/>
    </row>
    <row r="28" spans="2:13" ht="15" customHeight="1" x14ac:dyDescent="0.2">
      <c r="B28" s="245" t="s">
        <v>141</v>
      </c>
      <c r="D28" s="262">
        <f>'Detail Data'!D38</f>
        <v>503.7</v>
      </c>
      <c r="E28" s="262">
        <f>'Detail Data'!E38</f>
        <v>488.40950285965675</v>
      </c>
      <c r="F28" s="262">
        <f>'Detail Data'!F38</f>
        <v>558.32474703035621</v>
      </c>
      <c r="G28" s="262">
        <f>'Detail Data'!G38</f>
        <v>568.96161460624717</v>
      </c>
      <c r="H28" s="262"/>
      <c r="I28" s="262"/>
      <c r="J28" s="255"/>
      <c r="M28" s="266"/>
    </row>
    <row r="29" spans="2:13" ht="15" customHeight="1" x14ac:dyDescent="0.2">
      <c r="B29" s="245" t="s">
        <v>142</v>
      </c>
      <c r="D29" s="262">
        <f>C36-D36</f>
        <v>-747</v>
      </c>
      <c r="E29" s="262">
        <f t="shared" ref="E29:G29" si="6">D36-E36</f>
        <v>-284.5</v>
      </c>
      <c r="F29" s="262">
        <f t="shared" si="6"/>
        <v>-188</v>
      </c>
      <c r="G29" s="262">
        <f t="shared" si="6"/>
        <v>-296</v>
      </c>
      <c r="H29" s="262"/>
      <c r="I29" s="262"/>
      <c r="J29" s="255"/>
      <c r="M29" s="179"/>
    </row>
    <row r="30" spans="2:13" ht="15" customHeight="1" x14ac:dyDescent="0.2">
      <c r="B30" s="245" t="s">
        <v>143</v>
      </c>
      <c r="D30" s="302">
        <f>-'Detail Data'!D40</f>
        <v>-454.6</v>
      </c>
      <c r="E30" s="302">
        <f>-'Detail Data'!E40</f>
        <v>-440.8</v>
      </c>
      <c r="F30" s="302">
        <f>-'Detail Data'!F40</f>
        <v>-503.9</v>
      </c>
      <c r="G30" s="302">
        <f>-'Detail Data'!G40</f>
        <v>-513.5</v>
      </c>
      <c r="H30" s="301"/>
      <c r="I30" s="301"/>
      <c r="J30" s="255"/>
      <c r="M30" s="179"/>
    </row>
    <row r="31" spans="2:13" ht="15" customHeight="1" x14ac:dyDescent="0.2">
      <c r="B31" s="282" t="s">
        <v>144</v>
      </c>
      <c r="D31" s="173">
        <f>FrontPage!I30</f>
        <v>4.2660991037583057E-2</v>
      </c>
      <c r="E31" s="257">
        <f>D31</f>
        <v>4.2660991037583057E-2</v>
      </c>
      <c r="F31" s="257">
        <f t="shared" ref="F31:G31" si="7">E31</f>
        <v>4.2660991037583057E-2</v>
      </c>
      <c r="G31" s="257">
        <f t="shared" si="7"/>
        <v>4.2660991037583057E-2</v>
      </c>
      <c r="H31" s="257"/>
      <c r="I31" s="257"/>
      <c r="J31" s="255"/>
      <c r="M31" s="179"/>
    </row>
    <row r="32" spans="2:13" x14ac:dyDescent="0.2">
      <c r="B32" s="245"/>
      <c r="D32" s="302"/>
      <c r="E32" s="303"/>
      <c r="F32" s="303"/>
      <c r="G32" s="303"/>
      <c r="H32" s="303"/>
      <c r="I32" s="303"/>
      <c r="J32" s="255"/>
      <c r="M32" s="179"/>
    </row>
    <row r="33" spans="2:13" x14ac:dyDescent="0.2">
      <c r="B33" s="283" t="s">
        <v>228</v>
      </c>
      <c r="D33" s="302"/>
      <c r="E33" s="303"/>
      <c r="F33" s="303"/>
      <c r="G33" s="303"/>
      <c r="H33" s="303"/>
      <c r="I33" s="303"/>
      <c r="J33" s="255"/>
      <c r="M33" s="179"/>
    </row>
    <row r="34" spans="2:13" x14ac:dyDescent="0.2">
      <c r="B34" s="242" t="s">
        <v>145</v>
      </c>
      <c r="C34" s="178"/>
      <c r="D34" s="253"/>
      <c r="E34" s="253"/>
      <c r="F34" s="253"/>
      <c r="G34" s="253"/>
      <c r="H34" s="253"/>
      <c r="I34" s="253"/>
      <c r="J34" s="255"/>
      <c r="M34" s="253"/>
    </row>
    <row r="35" spans="2:13" x14ac:dyDescent="0.2">
      <c r="B35" s="245"/>
      <c r="D35" s="300"/>
      <c r="J35" s="255"/>
      <c r="M35" s="179"/>
    </row>
    <row r="36" spans="2:13" x14ac:dyDescent="0.2">
      <c r="B36" s="245" t="s">
        <v>146</v>
      </c>
      <c r="C36" s="302">
        <f>'Detail Data'!C33</f>
        <v>-170</v>
      </c>
      <c r="D36" s="302">
        <f>'Detail Data'!D33</f>
        <v>577</v>
      </c>
      <c r="E36" s="262">
        <f>'Detail Data'!E33</f>
        <v>861.5</v>
      </c>
      <c r="F36" s="262">
        <f>'Detail Data'!F33</f>
        <v>1049.5</v>
      </c>
      <c r="G36" s="262">
        <f>'Detail Data'!G33</f>
        <v>1345.5</v>
      </c>
      <c r="H36" s="262"/>
      <c r="I36" s="262"/>
      <c r="J36" s="255"/>
    </row>
    <row r="37" spans="2:13" x14ac:dyDescent="0.2">
      <c r="B37" s="282" t="s">
        <v>144</v>
      </c>
      <c r="D37" s="173">
        <f>D36/D17</f>
        <v>4.934745052426321E-2</v>
      </c>
      <c r="E37" s="173">
        <f t="shared" ref="E37:G37" si="8">E36/E17</f>
        <v>7.0060586345708123E-2</v>
      </c>
      <c r="F37" s="173">
        <f t="shared" si="8"/>
        <v>8.3270520093624789E-2</v>
      </c>
      <c r="G37" s="173">
        <f t="shared" si="8"/>
        <v>0.10404503591892916</v>
      </c>
      <c r="H37" s="173"/>
      <c r="I37" s="173"/>
      <c r="J37" s="304"/>
    </row>
    <row r="38" spans="2:13" x14ac:dyDescent="0.2">
      <c r="B38" s="245"/>
      <c r="D38" s="300"/>
      <c r="E38" s="173"/>
      <c r="F38" s="173"/>
      <c r="G38" s="173"/>
      <c r="H38" s="173"/>
      <c r="I38" s="173"/>
      <c r="J38" s="304"/>
      <c r="K38" s="301"/>
      <c r="M38" s="173"/>
    </row>
    <row r="39" spans="2:13" x14ac:dyDescent="0.2">
      <c r="B39" s="242" t="str">
        <f>"Present value of UFCF on "&amp;TEXT(D9,"mmm dd, yyyy")&amp;" valuation date"</f>
        <v>Present value of UFCF on Oct 04, 2026 valuation date</v>
      </c>
      <c r="D39" s="300"/>
      <c r="F39" s="300"/>
      <c r="G39" s="300"/>
      <c r="H39" s="300"/>
      <c r="I39" s="300"/>
      <c r="J39" s="304"/>
    </row>
    <row r="40" spans="2:13" ht="18" x14ac:dyDescent="0.35">
      <c r="B40" s="242"/>
      <c r="D40" s="332" t="s">
        <v>147</v>
      </c>
      <c r="E40" s="332" t="s">
        <v>148</v>
      </c>
      <c r="F40" s="243" t="s">
        <v>149</v>
      </c>
      <c r="G40" s="243" t="s">
        <v>150</v>
      </c>
      <c r="H40" s="243"/>
      <c r="I40" s="243"/>
      <c r="J40" s="304"/>
    </row>
    <row r="41" spans="2:13" x14ac:dyDescent="0.2">
      <c r="B41" s="245" t="s">
        <v>151</v>
      </c>
      <c r="C41" s="246"/>
      <c r="D41" s="247">
        <f>D9</f>
        <v>46299</v>
      </c>
      <c r="E41" s="248">
        <f>DATE(YEAR($D$6)+1,12,31)</f>
        <v>46387</v>
      </c>
      <c r="F41" s="248">
        <f>DATE(YEAR($D$6)+2,12,31)</f>
        <v>46752</v>
      </c>
      <c r="G41" s="248">
        <f>DATE(YEAR($D$6)+3,12,31)</f>
        <v>47118</v>
      </c>
      <c r="H41" s="247"/>
      <c r="I41" s="247"/>
      <c r="J41" s="304"/>
    </row>
    <row r="42" spans="2:13" x14ac:dyDescent="0.2">
      <c r="B42" s="245" t="s">
        <v>152</v>
      </c>
      <c r="C42" s="250">
        <f>D10</f>
        <v>0.24166666666666667</v>
      </c>
      <c r="D42" s="179"/>
      <c r="E42" s="262">
        <f>(E26+E28+E29+E30)*C42</f>
        <v>413.75750000000005</v>
      </c>
      <c r="F42" s="262">
        <f>F26+F28+F29+F30</f>
        <v>2012.1000000000004</v>
      </c>
      <c r="G42" s="262">
        <f t="shared" ref="G42" si="9">G26+G28+G29+G30</f>
        <v>2036.8999999999996</v>
      </c>
      <c r="H42" s="262"/>
      <c r="I42" s="262"/>
      <c r="J42" s="305"/>
      <c r="K42" s="162" t="s">
        <v>153</v>
      </c>
    </row>
    <row r="43" spans="2:13" ht="15" customHeight="1" x14ac:dyDescent="0.2">
      <c r="B43" s="242" t="s">
        <v>154</v>
      </c>
      <c r="C43" s="252"/>
      <c r="E43" s="253">
        <f>E42/(1+$H$6)^((E41-$D$41)/365)</f>
        <v>413.75750000000005</v>
      </c>
      <c r="F43" s="253">
        <f t="shared" ref="F43:G43" si="10">F42/(1+$H$6)^((F41-$D$41)/365)</f>
        <v>2012.1000000000004</v>
      </c>
      <c r="G43" s="253">
        <f t="shared" si="10"/>
        <v>2036.8999999999996</v>
      </c>
      <c r="H43" s="253"/>
      <c r="I43" s="253"/>
      <c r="J43" s="305"/>
    </row>
    <row r="44" spans="2:13" x14ac:dyDescent="0.2">
      <c r="B44" s="245"/>
      <c r="E44" s="363"/>
      <c r="F44" s="363"/>
      <c r="G44" s="363"/>
      <c r="J44" s="255"/>
    </row>
    <row r="45" spans="2:13" x14ac:dyDescent="0.2">
      <c r="B45" s="242" t="s">
        <v>155</v>
      </c>
      <c r="C45" s="178"/>
      <c r="E45" s="178" t="s">
        <v>156</v>
      </c>
      <c r="J45" s="255"/>
    </row>
    <row r="46" spans="2:13" x14ac:dyDescent="0.2">
      <c r="B46" s="245" t="s">
        <v>157</v>
      </c>
      <c r="C46" s="257"/>
      <c r="E46" s="162" t="s">
        <v>158</v>
      </c>
      <c r="I46" s="179"/>
      <c r="J46" s="259"/>
    </row>
    <row r="47" spans="2:13" x14ac:dyDescent="0.2">
      <c r="B47" s="260" t="str">
        <f>YEAR(G41)&amp;" FCF x (1+g)"</f>
        <v>2028 FCF x (1+g)</v>
      </c>
      <c r="C47" s="179"/>
      <c r="D47" s="364" t="s">
        <v>265</v>
      </c>
      <c r="E47" s="162" t="s">
        <v>159</v>
      </c>
      <c r="I47" s="306"/>
      <c r="J47" s="261"/>
    </row>
    <row r="48" spans="2:13" x14ac:dyDescent="0.2">
      <c r="B48" s="245" t="str">
        <f>"Terminal value in "&amp;YEAR(D6)+3</f>
        <v>Terminal value in 2028</v>
      </c>
      <c r="C48" s="179"/>
      <c r="E48" s="162" t="str">
        <f>"Terminal value in "&amp;YEAR(G41)</f>
        <v>Terminal value in 2028</v>
      </c>
      <c r="I48" s="179"/>
      <c r="J48" s="259"/>
      <c r="L48" s="364" t="s">
        <v>266</v>
      </c>
    </row>
    <row r="49" spans="2:12" x14ac:dyDescent="0.2">
      <c r="B49" s="245" t="s">
        <v>160</v>
      </c>
      <c r="C49" s="253"/>
      <c r="E49" s="162" t="s">
        <v>160</v>
      </c>
      <c r="I49" s="253"/>
      <c r="J49" s="259"/>
    </row>
    <row r="50" spans="2:12" x14ac:dyDescent="0.2">
      <c r="B50" s="245" t="s">
        <v>161</v>
      </c>
      <c r="C50" s="253"/>
      <c r="E50" s="162" t="s">
        <v>161</v>
      </c>
      <c r="I50" s="179"/>
      <c r="J50" s="259"/>
    </row>
    <row r="51" spans="2:12" x14ac:dyDescent="0.2">
      <c r="B51" s="242" t="s">
        <v>162</v>
      </c>
      <c r="C51" s="263"/>
      <c r="D51" s="264"/>
      <c r="E51" s="178" t="s">
        <v>163</v>
      </c>
      <c r="I51" s="263"/>
      <c r="J51" s="265"/>
    </row>
    <row r="52" spans="2:12" x14ac:dyDescent="0.2">
      <c r="B52" s="245"/>
      <c r="D52" s="266"/>
      <c r="J52" s="255"/>
    </row>
    <row r="53" spans="2:12" x14ac:dyDescent="0.2">
      <c r="B53" s="267" t="s">
        <v>164</v>
      </c>
      <c r="C53" s="268" t="e">
        <f>C49/$C$51</f>
        <v>#DIV/0!</v>
      </c>
      <c r="E53" s="269" t="s">
        <v>164</v>
      </c>
      <c r="I53" s="268" t="e">
        <f>I49/$I$51</f>
        <v>#DIV/0!</v>
      </c>
      <c r="J53" s="270"/>
    </row>
    <row r="54" spans="2:12" x14ac:dyDescent="0.2">
      <c r="B54" s="267" t="s">
        <v>165</v>
      </c>
      <c r="C54" s="268" t="e">
        <f t="shared" ref="C54" si="11">C50/$C$51</f>
        <v>#DIV/0!</v>
      </c>
      <c r="E54" s="269" t="s">
        <v>165</v>
      </c>
      <c r="G54" s="271"/>
      <c r="I54" s="268" t="e">
        <f t="shared" ref="I54" si="12">I50/$I$51</f>
        <v>#DIV/0!</v>
      </c>
      <c r="J54" s="307"/>
    </row>
    <row r="55" spans="2:12" x14ac:dyDescent="0.2">
      <c r="B55" s="267" t="s">
        <v>166</v>
      </c>
      <c r="C55" s="272">
        <f>C48/G19</f>
        <v>0</v>
      </c>
      <c r="E55" s="162" t="s">
        <v>167</v>
      </c>
      <c r="I55" s="308" t="e">
        <f>(H6-G42/I48)/(1+G42/I48)</f>
        <v>#DIV/0!</v>
      </c>
      <c r="J55" s="273"/>
    </row>
    <row r="56" spans="2:12" x14ac:dyDescent="0.2">
      <c r="B56" s="267"/>
      <c r="C56" s="309"/>
      <c r="D56" s="272"/>
      <c r="I56" s="308"/>
      <c r="J56" s="273"/>
    </row>
    <row r="57" spans="2:12" x14ac:dyDescent="0.2">
      <c r="B57" s="242" t="s">
        <v>168</v>
      </c>
      <c r="E57" s="178" t="s">
        <v>169</v>
      </c>
      <c r="G57" s="178"/>
      <c r="J57" s="255"/>
    </row>
    <row r="58" spans="2:12" x14ac:dyDescent="0.2">
      <c r="B58" s="245" t="s">
        <v>170</v>
      </c>
      <c r="C58" s="170" t="s">
        <v>171</v>
      </c>
      <c r="J58" s="255"/>
      <c r="L58" s="333"/>
    </row>
    <row r="59" spans="2:12" x14ac:dyDescent="0.2">
      <c r="B59" s="284" t="s">
        <v>172</v>
      </c>
      <c r="C59" s="166">
        <v>46022</v>
      </c>
      <c r="G59" s="310" t="s">
        <v>170</v>
      </c>
      <c r="H59" s="311" t="s">
        <v>173</v>
      </c>
      <c r="I59" s="311" t="s">
        <v>174</v>
      </c>
      <c r="J59" s="255"/>
    </row>
    <row r="60" spans="2:12" x14ac:dyDescent="0.2">
      <c r="B60" s="285" t="s">
        <v>175</v>
      </c>
      <c r="C60" s="168"/>
      <c r="E60" s="162" t="s">
        <v>176</v>
      </c>
      <c r="G60" s="170" t="s">
        <v>177</v>
      </c>
      <c r="H60" s="170">
        <v>43847</v>
      </c>
      <c r="I60" s="312">
        <f>145628.076+59613.777</f>
        <v>205241.853</v>
      </c>
      <c r="J60" s="313"/>
    </row>
    <row r="61" spans="2:12" x14ac:dyDescent="0.2">
      <c r="B61" s="282" t="s">
        <v>178</v>
      </c>
      <c r="C61" s="301">
        <f>'Detail Data'!D34</f>
        <v>4681.2</v>
      </c>
      <c r="D61" s="364" t="s">
        <v>267</v>
      </c>
      <c r="E61" s="183" t="s">
        <v>179</v>
      </c>
      <c r="G61" s="170" t="s">
        <v>177</v>
      </c>
      <c r="H61" s="170">
        <v>43827</v>
      </c>
      <c r="I61" s="312">
        <v>1303.521</v>
      </c>
      <c r="J61" s="314"/>
    </row>
    <row r="62" spans="2:12" ht="15" customHeight="1" x14ac:dyDescent="0.2">
      <c r="B62" s="282" t="s">
        <v>180</v>
      </c>
      <c r="C62" s="315"/>
      <c r="E62" s="183" t="s">
        <v>181</v>
      </c>
      <c r="G62" s="170"/>
      <c r="H62" s="170"/>
      <c r="I62" s="316">
        <v>609</v>
      </c>
      <c r="J62" s="255"/>
      <c r="K62" s="162" t="s">
        <v>182</v>
      </c>
    </row>
    <row r="63" spans="2:12" ht="15" customHeight="1" x14ac:dyDescent="0.2">
      <c r="B63" s="282" t="s">
        <v>183</v>
      </c>
      <c r="C63" s="315"/>
      <c r="E63" s="162" t="s">
        <v>180</v>
      </c>
      <c r="G63" s="170"/>
      <c r="H63" s="170"/>
      <c r="I63" s="316">
        <v>0</v>
      </c>
      <c r="J63" s="255"/>
      <c r="K63" s="162" t="s">
        <v>184</v>
      </c>
    </row>
    <row r="64" spans="2:12" x14ac:dyDescent="0.2">
      <c r="B64" s="286" t="s">
        <v>185</v>
      </c>
      <c r="C64" s="303"/>
      <c r="E64" s="162" t="s">
        <v>186</v>
      </c>
      <c r="G64" s="170"/>
      <c r="H64" s="170"/>
      <c r="I64" s="316">
        <v>0</v>
      </c>
      <c r="J64" s="255"/>
      <c r="K64" s="162" t="s">
        <v>187</v>
      </c>
    </row>
    <row r="65" spans="2:14" ht="15" customHeight="1" x14ac:dyDescent="0.2">
      <c r="B65" s="285" t="s">
        <v>188</v>
      </c>
      <c r="E65" s="317" t="s">
        <v>189</v>
      </c>
      <c r="I65" s="318">
        <f>SUM(I60:I64)</f>
        <v>207154.37400000001</v>
      </c>
      <c r="J65" s="319"/>
    </row>
    <row r="66" spans="2:14" x14ac:dyDescent="0.2">
      <c r="B66" s="287" t="s">
        <v>190</v>
      </c>
      <c r="C66" s="303">
        <f>'Detail Data'!D28</f>
        <v>925.9</v>
      </c>
      <c r="G66" s="178"/>
      <c r="I66" s="300"/>
      <c r="J66" s="255"/>
      <c r="K66" s="300"/>
      <c r="L66" s="300"/>
      <c r="M66" s="300"/>
      <c r="N66" s="300"/>
    </row>
    <row r="67" spans="2:14" ht="18" x14ac:dyDescent="0.35">
      <c r="B67" s="287" t="s">
        <v>191</v>
      </c>
      <c r="C67" s="303"/>
      <c r="G67" s="178"/>
      <c r="I67" s="332"/>
      <c r="J67" s="336"/>
      <c r="K67" s="243"/>
      <c r="L67" s="243"/>
      <c r="M67" s="243"/>
      <c r="N67" s="243"/>
    </row>
    <row r="68" spans="2:14" x14ac:dyDescent="0.2">
      <c r="B68" s="245"/>
      <c r="H68" s="246"/>
      <c r="I68" s="247"/>
      <c r="J68" s="320"/>
      <c r="K68" s="248"/>
      <c r="L68" s="248"/>
      <c r="M68" s="247"/>
      <c r="N68" s="247"/>
    </row>
    <row r="69" spans="2:14" x14ac:dyDescent="0.2">
      <c r="B69" s="288" t="s">
        <v>168</v>
      </c>
      <c r="C69" s="321">
        <f>SUM(C61:C64)-SUM(C66:C67)</f>
        <v>3755.2999999999997</v>
      </c>
      <c r="H69" s="250"/>
      <c r="I69" s="179"/>
      <c r="J69" s="305"/>
      <c r="K69" s="262"/>
      <c r="L69" s="262"/>
      <c r="M69" s="262"/>
      <c r="N69" s="262"/>
    </row>
    <row r="70" spans="2:14" x14ac:dyDescent="0.2">
      <c r="B70" s="245"/>
      <c r="G70" s="178"/>
      <c r="H70" s="252"/>
      <c r="J70" s="254"/>
      <c r="K70" s="253"/>
      <c r="L70" s="253"/>
      <c r="M70" s="253"/>
      <c r="N70" s="253"/>
    </row>
    <row r="71" spans="2:14" x14ac:dyDescent="0.2">
      <c r="B71" s="242" t="s">
        <v>192</v>
      </c>
      <c r="J71" s="255"/>
    </row>
    <row r="72" spans="2:14" ht="18" x14ac:dyDescent="0.35">
      <c r="B72" s="245"/>
      <c r="C72" s="274" t="s">
        <v>193</v>
      </c>
      <c r="D72" s="274" t="s">
        <v>96</v>
      </c>
      <c r="G72" s="178"/>
      <c r="H72" s="178"/>
      <c r="J72" s="325"/>
    </row>
    <row r="73" spans="2:14" x14ac:dyDescent="0.2">
      <c r="B73" s="245" t="s">
        <v>194</v>
      </c>
      <c r="C73" s="322">
        <f>C51</f>
        <v>0</v>
      </c>
      <c r="D73" s="322">
        <f>I51</f>
        <v>0</v>
      </c>
      <c r="H73" s="257"/>
      <c r="J73" s="255"/>
      <c r="N73" s="179"/>
    </row>
    <row r="74" spans="2:14" x14ac:dyDescent="0.2">
      <c r="B74" s="245" t="s">
        <v>168</v>
      </c>
      <c r="C74" s="334">
        <f>C69</f>
        <v>3755.2999999999997</v>
      </c>
      <c r="D74" s="334">
        <f>C74</f>
        <v>3755.2999999999997</v>
      </c>
      <c r="G74" s="323"/>
      <c r="H74" s="179"/>
      <c r="J74" s="255"/>
      <c r="N74" s="306"/>
    </row>
    <row r="75" spans="2:14" x14ac:dyDescent="0.2">
      <c r="B75" s="245" t="s">
        <v>195</v>
      </c>
      <c r="C75" s="275">
        <f>C73-C74</f>
        <v>-3755.2999999999997</v>
      </c>
      <c r="D75" s="275">
        <f>D73-D74</f>
        <v>-3755.2999999999997</v>
      </c>
      <c r="H75" s="179"/>
      <c r="J75" s="255"/>
      <c r="N75" s="179"/>
    </row>
    <row r="76" spans="2:14" x14ac:dyDescent="0.2">
      <c r="B76" s="245" t="s">
        <v>169</v>
      </c>
      <c r="C76" s="275">
        <f>I65</f>
        <v>207154.37400000001</v>
      </c>
      <c r="D76" s="275">
        <f>I65</f>
        <v>207154.37400000001</v>
      </c>
      <c r="H76" s="179"/>
      <c r="J76" s="255"/>
      <c r="N76" s="179"/>
    </row>
    <row r="77" spans="2:14" x14ac:dyDescent="0.2">
      <c r="B77" s="242" t="s">
        <v>196</v>
      </c>
      <c r="C77" s="324">
        <f>C75/C76</f>
        <v>-1.8128026589484418E-2</v>
      </c>
      <c r="D77" s="324">
        <f>D75/D76</f>
        <v>-1.8128026589484418E-2</v>
      </c>
      <c r="H77" s="262"/>
      <c r="J77" s="255"/>
      <c r="N77" s="179"/>
    </row>
    <row r="78" spans="2:14" x14ac:dyDescent="0.2">
      <c r="B78" s="242"/>
      <c r="C78" s="324"/>
      <c r="D78" s="324"/>
      <c r="G78" s="178"/>
      <c r="H78" s="263"/>
      <c r="I78" s="264"/>
      <c r="J78" s="325"/>
      <c r="N78" s="263"/>
    </row>
    <row r="79" spans="2:14" x14ac:dyDescent="0.2">
      <c r="B79" s="289" t="s">
        <v>197</v>
      </c>
      <c r="C79" s="311" t="s">
        <v>193</v>
      </c>
      <c r="D79" s="311" t="s">
        <v>96</v>
      </c>
      <c r="E79" s="326"/>
      <c r="F79" s="326"/>
      <c r="I79" s="266"/>
      <c r="J79" s="255"/>
    </row>
    <row r="80" spans="2:14" x14ac:dyDescent="0.2">
      <c r="B80" s="245" t="s">
        <v>198</v>
      </c>
      <c r="C80" s="327">
        <f>C73/$E$17</f>
        <v>0</v>
      </c>
      <c r="D80" s="327">
        <f>D73/$E$17</f>
        <v>0</v>
      </c>
      <c r="E80" s="326"/>
      <c r="F80" s="326"/>
      <c r="G80" s="269"/>
      <c r="H80" s="268"/>
      <c r="J80" s="328"/>
      <c r="N80" s="268"/>
    </row>
    <row r="81" spans="2:14" x14ac:dyDescent="0.2">
      <c r="B81" s="245" t="s">
        <v>199</v>
      </c>
      <c r="C81" s="326">
        <f>C73/$E$19</f>
        <v>0</v>
      </c>
      <c r="D81" s="326">
        <f>D73/$E$19</f>
        <v>0</v>
      </c>
      <c r="E81" s="326"/>
      <c r="F81" s="326"/>
      <c r="G81" s="269"/>
      <c r="H81" s="268"/>
      <c r="J81" s="328"/>
      <c r="L81" s="271"/>
      <c r="N81" s="268"/>
    </row>
    <row r="82" spans="2:14" ht="16" thickBot="1" x14ac:dyDescent="0.25">
      <c r="B82" s="290" t="s">
        <v>200</v>
      </c>
      <c r="C82" s="291">
        <f>C73/$E$21</f>
        <v>0</v>
      </c>
      <c r="D82" s="291">
        <f>D73/$E$21</f>
        <v>0</v>
      </c>
      <c r="E82" s="291"/>
      <c r="F82" s="292"/>
      <c r="G82" s="293"/>
      <c r="H82" s="294"/>
      <c r="I82" s="278"/>
      <c r="J82" s="280"/>
      <c r="N82" s="308"/>
    </row>
    <row r="83" spans="2:14" x14ac:dyDescent="0.2">
      <c r="F83" s="184"/>
    </row>
    <row r="84" spans="2:14" ht="16" thickBot="1" x14ac:dyDescent="0.25">
      <c r="F84" s="184"/>
    </row>
    <row r="85" spans="2:14" ht="24" x14ac:dyDescent="0.3">
      <c r="B85" s="295" t="s">
        <v>229</v>
      </c>
      <c r="C85" s="237"/>
      <c r="D85" s="237"/>
      <c r="E85" s="237"/>
      <c r="F85" s="238"/>
      <c r="G85" s="237"/>
      <c r="H85" s="237"/>
      <c r="I85" s="239"/>
    </row>
    <row r="86" spans="2:14" x14ac:dyDescent="0.2">
      <c r="B86" s="240" t="str">
        <f>"Present value of UFCF on "&amp;TEXT(D9,"mmm dd, yyyy")&amp;" valuation date"</f>
        <v>Present value of UFCF on Oct 04, 2026 valuation date</v>
      </c>
      <c r="C86" s="176"/>
      <c r="D86" s="180"/>
      <c r="E86" s="176"/>
      <c r="F86" s="180"/>
      <c r="G86" s="180"/>
      <c r="H86" s="180"/>
      <c r="I86" s="241"/>
    </row>
    <row r="87" spans="2:14" ht="18" x14ac:dyDescent="0.35">
      <c r="B87" s="242"/>
      <c r="D87" s="181" t="s">
        <v>147</v>
      </c>
      <c r="E87" s="181" t="s">
        <v>148</v>
      </c>
      <c r="F87" s="243" t="s">
        <v>149</v>
      </c>
      <c r="G87" s="243" t="s">
        <v>150</v>
      </c>
      <c r="H87" s="243"/>
      <c r="I87" s="244"/>
    </row>
    <row r="88" spans="2:14" x14ac:dyDescent="0.2">
      <c r="B88" s="245" t="s">
        <v>151</v>
      </c>
      <c r="C88" s="246"/>
      <c r="D88" s="247">
        <f>D9</f>
        <v>46299</v>
      </c>
      <c r="E88" s="248">
        <f>DATE(YEAR($D$6)+1,12,31)</f>
        <v>46387</v>
      </c>
      <c r="F88" s="248">
        <f>DATE(YEAR($D$6)+2,12,31)</f>
        <v>46752</v>
      </c>
      <c r="G88" s="248">
        <f>DATE(YEAR($D$6)+3,12,31)</f>
        <v>47118</v>
      </c>
      <c r="H88" s="247"/>
      <c r="I88" s="249"/>
    </row>
    <row r="89" spans="2:14" x14ac:dyDescent="0.2">
      <c r="B89" s="245" t="s">
        <v>152</v>
      </c>
      <c r="C89" s="250">
        <f>C42</f>
        <v>0.24166666666666667</v>
      </c>
      <c r="D89" s="179"/>
      <c r="E89" s="182">
        <f>C89*'Detail Data'!D42</f>
        <v>0</v>
      </c>
      <c r="F89" s="182">
        <f>'Detail Data'!E42</f>
        <v>1724.6000000000004</v>
      </c>
      <c r="G89" s="182">
        <f>'Detail Data'!F42</f>
        <v>1945.4000000000005</v>
      </c>
      <c r="H89" s="182"/>
      <c r="I89" s="251"/>
    </row>
    <row r="90" spans="2:14" x14ac:dyDescent="0.2">
      <c r="B90" s="242" t="s">
        <v>154</v>
      </c>
      <c r="C90" s="252"/>
      <c r="E90" s="253">
        <f>E89/(1+'WACC calculation'!$D$11)^((E88-$D$41)/365)</f>
        <v>0</v>
      </c>
      <c r="F90" s="253">
        <f>F89/(1+'WACC calculation'!$D$11)^((F88-$D$41)/365)</f>
        <v>1724.6000000000004</v>
      </c>
      <c r="G90" s="253">
        <f>G89/(1+'WACC calculation'!$D$11)^((G88-$D$41)/365)</f>
        <v>1945.4000000000005</v>
      </c>
      <c r="H90" s="253"/>
      <c r="I90" s="254"/>
    </row>
    <row r="91" spans="2:14" x14ac:dyDescent="0.2">
      <c r="B91" s="245"/>
      <c r="I91" s="255"/>
    </row>
    <row r="92" spans="2:14" x14ac:dyDescent="0.2">
      <c r="B92" s="240" t="s">
        <v>155</v>
      </c>
      <c r="C92" s="175"/>
      <c r="E92" s="175" t="s">
        <v>231</v>
      </c>
      <c r="F92" s="176"/>
      <c r="G92" s="176"/>
      <c r="H92" s="176"/>
      <c r="I92" s="256"/>
    </row>
    <row r="93" spans="2:14" x14ac:dyDescent="0.2">
      <c r="B93" s="245" t="s">
        <v>157</v>
      </c>
      <c r="C93" s="257"/>
      <c r="E93" s="258" t="s">
        <v>234</v>
      </c>
      <c r="I93" s="179"/>
    </row>
    <row r="94" spans="2:14" x14ac:dyDescent="0.2">
      <c r="B94" s="260" t="str">
        <f>YEAR(G88)&amp;" FCFE x (1+g)"</f>
        <v>2028 FCFE x (1+g)</v>
      </c>
      <c r="C94" s="179"/>
      <c r="E94" s="296" t="s">
        <v>244</v>
      </c>
    </row>
    <row r="95" spans="2:14" x14ac:dyDescent="0.2">
      <c r="B95" s="245" t="str">
        <f>"Terminal value in "&amp;YEAR(G88)</f>
        <v>Terminal value in 2028</v>
      </c>
      <c r="C95" s="366"/>
      <c r="E95" s="162" t="str">
        <f>"Terminal value in "&amp;YEAR(G88)</f>
        <v>Terminal value in 2028</v>
      </c>
      <c r="I95" s="179"/>
    </row>
    <row r="96" spans="2:14" x14ac:dyDescent="0.2">
      <c r="B96" s="245" t="s">
        <v>160</v>
      </c>
      <c r="C96" s="253"/>
      <c r="E96" s="162" t="s">
        <v>160</v>
      </c>
      <c r="I96" s="253"/>
    </row>
    <row r="97" spans="2:17" x14ac:dyDescent="0.2">
      <c r="B97" s="245" t="s">
        <v>161</v>
      </c>
      <c r="C97" s="262"/>
      <c r="E97" s="162" t="s">
        <v>161</v>
      </c>
      <c r="I97" s="179"/>
    </row>
    <row r="98" spans="2:17" x14ac:dyDescent="0.2">
      <c r="B98" s="242" t="s">
        <v>230</v>
      </c>
      <c r="C98" s="263"/>
      <c r="D98" s="264"/>
      <c r="E98" s="178" t="s">
        <v>233</v>
      </c>
      <c r="I98" s="179"/>
    </row>
    <row r="99" spans="2:17" x14ac:dyDescent="0.2">
      <c r="B99" s="245"/>
      <c r="D99" s="266"/>
      <c r="I99" s="255"/>
    </row>
    <row r="100" spans="2:17" x14ac:dyDescent="0.2">
      <c r="B100" s="267" t="s">
        <v>164</v>
      </c>
      <c r="C100" s="268" t="e">
        <f>C96/C98</f>
        <v>#DIV/0!</v>
      </c>
      <c r="E100" s="269" t="s">
        <v>164</v>
      </c>
      <c r="I100" s="365" t="e">
        <f>I96/I98</f>
        <v>#DIV/0!</v>
      </c>
    </row>
    <row r="101" spans="2:17" x14ac:dyDescent="0.2">
      <c r="B101" s="267" t="s">
        <v>165</v>
      </c>
      <c r="C101" s="268" t="e">
        <f t="shared" ref="C101" si="13">C97/$C$51</f>
        <v>#DIV/0!</v>
      </c>
      <c r="E101" s="269" t="s">
        <v>165</v>
      </c>
      <c r="G101" s="271"/>
      <c r="I101" s="365" t="e">
        <f>I97/I96</f>
        <v>#DIV/0!</v>
      </c>
    </row>
    <row r="102" spans="2:17" x14ac:dyDescent="0.2">
      <c r="B102" s="267" t="s">
        <v>268</v>
      </c>
      <c r="C102" s="272">
        <f>C95/(G21-G24)</f>
        <v>0</v>
      </c>
      <c r="E102" s="162" t="s">
        <v>167</v>
      </c>
      <c r="I102" s="273" t="e">
        <f>('WACC calculation'!D11-'DCF 1-Pager'!G89/'DCF 1-Pager'!I95)/(1+('DCF 1-Pager'!G89/'DCF 1-Pager'!I95))</f>
        <v>#DIV/0!</v>
      </c>
    </row>
    <row r="103" spans="2:17" x14ac:dyDescent="0.2">
      <c r="B103" s="267"/>
      <c r="C103" s="272"/>
      <c r="I103" s="273"/>
    </row>
    <row r="104" spans="2:17" x14ac:dyDescent="0.2">
      <c r="B104" s="240" t="s">
        <v>192</v>
      </c>
      <c r="C104" s="176"/>
      <c r="D104" s="176"/>
      <c r="I104" s="255"/>
    </row>
    <row r="105" spans="2:17" ht="18" x14ac:dyDescent="0.35">
      <c r="B105" s="245"/>
      <c r="C105" s="274" t="s">
        <v>193</v>
      </c>
      <c r="D105" s="274" t="s">
        <v>232</v>
      </c>
      <c r="G105" s="175"/>
      <c r="H105" s="175"/>
      <c r="I105" s="255"/>
      <c r="J105" s="175"/>
      <c r="K105" s="176"/>
      <c r="L105" s="176"/>
      <c r="M105" s="176"/>
      <c r="N105" s="176"/>
    </row>
    <row r="106" spans="2:17" x14ac:dyDescent="0.2">
      <c r="B106" s="245" t="s">
        <v>195</v>
      </c>
      <c r="C106" s="275">
        <f>C98</f>
        <v>0</v>
      </c>
      <c r="D106" s="275">
        <f>I98</f>
        <v>0</v>
      </c>
      <c r="H106" s="179"/>
      <c r="I106" s="255"/>
      <c r="N106" s="179"/>
    </row>
    <row r="107" spans="2:17" x14ac:dyDescent="0.2">
      <c r="B107" s="245" t="s">
        <v>169</v>
      </c>
      <c r="C107" s="275">
        <v>205306</v>
      </c>
      <c r="D107" s="275">
        <f>C107</f>
        <v>205306</v>
      </c>
      <c r="H107" s="179"/>
      <c r="I107" s="255"/>
      <c r="N107" s="179"/>
    </row>
    <row r="108" spans="2:17" ht="16" thickBot="1" x14ac:dyDescent="0.25">
      <c r="B108" s="276" t="s">
        <v>196</v>
      </c>
      <c r="C108" s="277">
        <f>C106/C107</f>
        <v>0</v>
      </c>
      <c r="D108" s="277">
        <f t="shared" ref="D108" si="14">D106/D107</f>
        <v>0</v>
      </c>
      <c r="E108" s="278"/>
      <c r="F108" s="278"/>
      <c r="G108" s="278"/>
      <c r="H108" s="279"/>
      <c r="I108" s="280"/>
      <c r="N108" s="179"/>
    </row>
    <row r="109" spans="2:17" x14ac:dyDescent="0.2">
      <c r="F109" s="184"/>
    </row>
    <row r="110" spans="2:17" x14ac:dyDescent="0.2">
      <c r="B110" s="175" t="s">
        <v>201</v>
      </c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</row>
    <row r="111" spans="2:17" x14ac:dyDescent="0.2">
      <c r="B111" s="178"/>
    </row>
    <row r="112" spans="2:17" ht="17.25" customHeight="1" x14ac:dyDescent="0.35">
      <c r="B112" s="185"/>
      <c r="C112" s="178"/>
      <c r="D112" s="186" t="s">
        <v>196</v>
      </c>
      <c r="E112" s="177"/>
      <c r="F112" s="177"/>
      <c r="G112" s="177"/>
      <c r="H112" s="177"/>
      <c r="I112" s="177"/>
      <c r="J112" s="187"/>
      <c r="L112" s="186" t="s">
        <v>202</v>
      </c>
      <c r="M112" s="177"/>
      <c r="N112" s="177"/>
      <c r="O112" s="177"/>
      <c r="P112" s="177"/>
      <c r="Q112" s="177"/>
    </row>
    <row r="113" spans="2:17" ht="15" customHeight="1" x14ac:dyDescent="0.2">
      <c r="B113" s="185"/>
      <c r="D113" s="183"/>
      <c r="E113" s="188" t="s">
        <v>203</v>
      </c>
      <c r="F113" s="188"/>
      <c r="G113" s="188"/>
      <c r="H113" s="188"/>
      <c r="I113" s="188"/>
      <c r="J113" s="189"/>
      <c r="L113" s="183"/>
      <c r="M113" s="188" t="s">
        <v>203</v>
      </c>
      <c r="N113" s="188"/>
      <c r="O113" s="188"/>
      <c r="P113" s="188"/>
      <c r="Q113" s="188"/>
    </row>
    <row r="114" spans="2:17" ht="15" customHeight="1" x14ac:dyDescent="0.2">
      <c r="B114" s="185"/>
      <c r="C114" s="190"/>
      <c r="D114" s="191">
        <f>C77</f>
        <v>-1.8128026589484418E-2</v>
      </c>
      <c r="E114" s="192">
        <f t="shared" ref="E114" si="15">F114-0.005</f>
        <v>1.9999999999999997E-2</v>
      </c>
      <c r="F114" s="193">
        <f>G114-0.005</f>
        <v>2.4999999999999998E-2</v>
      </c>
      <c r="G114" s="194">
        <v>0.03</v>
      </c>
      <c r="H114" s="193">
        <f>G114+0.005</f>
        <v>3.4999999999999996E-2</v>
      </c>
      <c r="I114" s="193">
        <f t="shared" ref="I114" si="16">H114+0.005</f>
        <v>3.9999999999999994E-2</v>
      </c>
      <c r="J114" s="195"/>
      <c r="L114" s="196">
        <f>C81</f>
        <v>0</v>
      </c>
      <c r="M114" s="192">
        <f t="shared" ref="M114" si="17">N114-0.005</f>
        <v>1.9999999999999997E-2</v>
      </c>
      <c r="N114" s="193">
        <f>O114-0.005</f>
        <v>2.4999999999999998E-2</v>
      </c>
      <c r="O114" s="194">
        <v>0.03</v>
      </c>
      <c r="P114" s="193">
        <f>O114+0.005</f>
        <v>3.4999999999999996E-2</v>
      </c>
      <c r="Q114" s="193">
        <f t="shared" ref="Q114" si="18">P114+0.005</f>
        <v>3.9999999999999994E-2</v>
      </c>
    </row>
    <row r="115" spans="2:17" ht="15" customHeight="1" x14ac:dyDescent="0.2">
      <c r="B115" s="185"/>
      <c r="D115" s="197">
        <f t="shared" ref="D115" si="19">D116+0.005</f>
        <v>7.0000000000000007E-2</v>
      </c>
      <c r="E115" s="198">
        <f t="dataTable" ref="E115:I119" dt2D="1" dtr="1" r1="C46" r2="H6"/>
        <v>-1.8128026589484418E-2</v>
      </c>
      <c r="F115" s="198">
        <v>-1.8128026589484418E-2</v>
      </c>
      <c r="G115" s="198">
        <v>-1.8128026589484418E-2</v>
      </c>
      <c r="H115" s="198">
        <v>-1.8128026589484418E-2</v>
      </c>
      <c r="I115" s="198">
        <v>-1.8128026589484418E-2</v>
      </c>
      <c r="J115" s="199"/>
      <c r="L115" s="197">
        <f t="shared" ref="L115" si="20">L116+0.005</f>
        <v>7.0000000000000007E-2</v>
      </c>
      <c r="M115" s="200">
        <f t="dataTable" ref="M115:Q119" dt2D="1" dtr="1" r1="C46" r2="H6"/>
        <v>0</v>
      </c>
      <c r="N115" s="200">
        <v>0</v>
      </c>
      <c r="O115" s="200">
        <v>0</v>
      </c>
      <c r="P115" s="200">
        <v>0</v>
      </c>
      <c r="Q115" s="200">
        <v>0</v>
      </c>
    </row>
    <row r="116" spans="2:17" ht="15" customHeight="1" x14ac:dyDescent="0.2">
      <c r="B116" s="185"/>
      <c r="D116" s="197">
        <f>D117+0.005</f>
        <v>6.5000000000000002E-2</v>
      </c>
      <c r="E116" s="198">
        <v>-1.8128026589484418E-2</v>
      </c>
      <c r="F116" s="198">
        <v>-1.8128026589484418E-2</v>
      </c>
      <c r="G116" s="198">
        <v>-1.8128026589484418E-2</v>
      </c>
      <c r="H116" s="198">
        <v>-1.8128026589484418E-2</v>
      </c>
      <c r="I116" s="198">
        <v>-1.8128026589484418E-2</v>
      </c>
      <c r="J116" s="199"/>
      <c r="L116" s="197">
        <f>L117+0.005</f>
        <v>6.5000000000000002E-2</v>
      </c>
      <c r="M116" s="200">
        <v>0</v>
      </c>
      <c r="N116" s="200">
        <v>0</v>
      </c>
      <c r="O116" s="200">
        <v>0</v>
      </c>
      <c r="P116" s="200">
        <v>0</v>
      </c>
      <c r="Q116" s="200">
        <v>0</v>
      </c>
    </row>
    <row r="117" spans="2:17" ht="15" customHeight="1" x14ac:dyDescent="0.2">
      <c r="B117" s="185"/>
      <c r="C117" s="190" t="s">
        <v>204</v>
      </c>
      <c r="D117" s="201">
        <v>0.06</v>
      </c>
      <c r="E117" s="198">
        <v>-1.8128026589484418E-2</v>
      </c>
      <c r="F117" s="198">
        <v>-1.8128026589484418E-2</v>
      </c>
      <c r="G117" s="198">
        <v>-1.8128026589484418E-2</v>
      </c>
      <c r="H117" s="198">
        <v>-1.8128026589484418E-2</v>
      </c>
      <c r="I117" s="198">
        <v>-1.8128026589484418E-2</v>
      </c>
      <c r="J117" s="199"/>
      <c r="K117" s="190" t="s">
        <v>204</v>
      </c>
      <c r="L117" s="201">
        <v>0.06</v>
      </c>
      <c r="M117" s="200">
        <v>0</v>
      </c>
      <c r="N117" s="200">
        <v>0</v>
      </c>
      <c r="O117" s="200">
        <v>0</v>
      </c>
      <c r="P117" s="200">
        <v>0</v>
      </c>
      <c r="Q117" s="200">
        <v>0</v>
      </c>
    </row>
    <row r="118" spans="2:17" ht="15" customHeight="1" x14ac:dyDescent="0.2">
      <c r="B118" s="185"/>
      <c r="D118" s="197">
        <f>D117-0.005</f>
        <v>5.5E-2</v>
      </c>
      <c r="E118" s="198">
        <v>-1.8128026589484418E-2</v>
      </c>
      <c r="F118" s="198">
        <v>-1.8128026589484418E-2</v>
      </c>
      <c r="G118" s="198">
        <v>-1.8128026589484418E-2</v>
      </c>
      <c r="H118" s="198">
        <v>-1.8128026589484418E-2</v>
      </c>
      <c r="I118" s="198">
        <v>-1.8128026589484418E-2</v>
      </c>
      <c r="J118" s="199"/>
      <c r="L118" s="197">
        <f>L117-0.005</f>
        <v>5.5E-2</v>
      </c>
      <c r="M118" s="200">
        <v>0</v>
      </c>
      <c r="N118" s="200">
        <v>0</v>
      </c>
      <c r="O118" s="200">
        <v>0</v>
      </c>
      <c r="P118" s="200">
        <v>0</v>
      </c>
      <c r="Q118" s="200">
        <v>0</v>
      </c>
    </row>
    <row r="119" spans="2:17" ht="15" customHeight="1" x14ac:dyDescent="0.2">
      <c r="B119" s="202" t="s">
        <v>205</v>
      </c>
      <c r="D119" s="203">
        <f>D118-0.005</f>
        <v>0.05</v>
      </c>
      <c r="E119" s="198">
        <v>-1.8128026589484418E-2</v>
      </c>
      <c r="F119" s="198">
        <v>-1.8128026589484418E-2</v>
      </c>
      <c r="G119" s="198">
        <v>-1.8128026589484418E-2</v>
      </c>
      <c r="H119" s="198">
        <v>-1.8128026589484418E-2</v>
      </c>
      <c r="I119" s="198">
        <v>-1.8128026589484418E-2</v>
      </c>
      <c r="J119" s="199"/>
      <c r="L119" s="203">
        <f>L118-0.005</f>
        <v>0.05</v>
      </c>
      <c r="M119" s="200">
        <v>0</v>
      </c>
      <c r="N119" s="200">
        <v>0</v>
      </c>
      <c r="O119" s="200">
        <v>0</v>
      </c>
      <c r="P119" s="200">
        <v>0</v>
      </c>
      <c r="Q119" s="200">
        <v>0</v>
      </c>
    </row>
    <row r="120" spans="2:17" ht="15" customHeight="1" x14ac:dyDescent="0.2">
      <c r="B120" s="202" t="s">
        <v>206</v>
      </c>
      <c r="E120" s="204"/>
      <c r="F120" s="204"/>
      <c r="G120" s="204"/>
      <c r="H120" s="204"/>
      <c r="I120" s="204"/>
      <c r="J120" s="205"/>
    </row>
    <row r="121" spans="2:17" ht="17.25" customHeight="1" x14ac:dyDescent="0.35">
      <c r="B121" s="185"/>
      <c r="D121" s="186" t="s">
        <v>196</v>
      </c>
      <c r="E121" s="177"/>
      <c r="F121" s="177"/>
      <c r="G121" s="177"/>
      <c r="H121" s="177"/>
      <c r="I121" s="177"/>
      <c r="J121" s="187"/>
      <c r="L121" s="186" t="s">
        <v>167</v>
      </c>
      <c r="M121" s="177"/>
      <c r="N121" s="177"/>
      <c r="O121" s="177"/>
      <c r="P121" s="177"/>
      <c r="Q121" s="177"/>
    </row>
    <row r="122" spans="2:17" ht="15" customHeight="1" x14ac:dyDescent="0.2">
      <c r="B122" s="185"/>
      <c r="E122" s="188" t="s">
        <v>207</v>
      </c>
      <c r="F122" s="188"/>
      <c r="G122" s="188"/>
      <c r="H122" s="188"/>
      <c r="I122" s="188"/>
      <c r="J122" s="189"/>
      <c r="M122" s="188" t="s">
        <v>207</v>
      </c>
      <c r="N122" s="188"/>
      <c r="O122" s="188"/>
      <c r="P122" s="188"/>
      <c r="Q122" s="188"/>
    </row>
    <row r="123" spans="2:17" ht="15" customHeight="1" x14ac:dyDescent="0.2">
      <c r="B123" s="185"/>
      <c r="D123" s="206">
        <f>D77</f>
        <v>-1.8128026589484418E-2</v>
      </c>
      <c r="E123" s="207">
        <f t="shared" ref="E123" si="21">F123-0.5</f>
        <v>12.5</v>
      </c>
      <c r="F123" s="207">
        <f>G123-0.5</f>
        <v>13</v>
      </c>
      <c r="G123" s="208">
        <v>13.5</v>
      </c>
      <c r="H123" s="207">
        <f>G123+0.5</f>
        <v>14</v>
      </c>
      <c r="I123" s="207">
        <f t="shared" ref="I123" si="22">H123+0.5</f>
        <v>14.5</v>
      </c>
      <c r="J123" s="209"/>
      <c r="L123" s="273" t="e">
        <f>I55</f>
        <v>#DIV/0!</v>
      </c>
      <c r="M123" s="207">
        <f t="shared" ref="M123" si="23">N123-0.5</f>
        <v>12.5</v>
      </c>
      <c r="N123" s="207">
        <f>O123-0.5</f>
        <v>13</v>
      </c>
      <c r="O123" s="208">
        <v>13.5</v>
      </c>
      <c r="P123" s="207">
        <f>O123+0.5</f>
        <v>14</v>
      </c>
      <c r="Q123" s="207">
        <f t="shared" ref="Q123" si="24">P123+0.5</f>
        <v>14.5</v>
      </c>
    </row>
    <row r="124" spans="2:17" ht="15" customHeight="1" x14ac:dyDescent="0.2">
      <c r="B124" s="185"/>
      <c r="D124" s="197">
        <f t="shared" ref="D124" si="25">D125+0.005</f>
        <v>7.0000000000000007E-2</v>
      </c>
      <c r="E124" s="198">
        <f t="dataTable" ref="E124:I128" dt2D="1" dtr="1" r1="I47" r2="H6"/>
        <v>-1.8128026589484418E-2</v>
      </c>
      <c r="F124" s="198">
        <v>-1.8128026589484418E-2</v>
      </c>
      <c r="G124" s="198">
        <v>-1.8128026589484418E-2</v>
      </c>
      <c r="H124" s="198">
        <v>-1.8128026589484418E-2</v>
      </c>
      <c r="I124" s="198">
        <v>-1.8128026589484418E-2</v>
      </c>
      <c r="J124" s="199"/>
      <c r="L124" s="197">
        <f t="shared" ref="L124" si="26">L125+0.005</f>
        <v>7.0000000000000007E-2</v>
      </c>
      <c r="M124" s="350" t="e">
        <f t="dataTable" ref="M124:Q128" dt2D="1" dtr="1" r1="I47" r2="H6"/>
        <v>#DIV/0!</v>
      </c>
      <c r="N124" s="350" t="e">
        <v>#DIV/0!</v>
      </c>
      <c r="O124" s="350" t="e">
        <v>#DIV/0!</v>
      </c>
      <c r="P124" s="350" t="e">
        <v>#DIV/0!</v>
      </c>
      <c r="Q124" s="350" t="e">
        <v>#DIV/0!</v>
      </c>
    </row>
    <row r="125" spans="2:17" ht="15" customHeight="1" x14ac:dyDescent="0.2">
      <c r="B125" s="185"/>
      <c r="D125" s="197">
        <f>D126+0.005</f>
        <v>6.5000000000000002E-2</v>
      </c>
      <c r="E125" s="198">
        <v>-1.8128026589484418E-2</v>
      </c>
      <c r="F125" s="198">
        <v>-1.8128026589484418E-2</v>
      </c>
      <c r="G125" s="198">
        <v>-1.8128026589484418E-2</v>
      </c>
      <c r="H125" s="198">
        <v>-1.8128026589484418E-2</v>
      </c>
      <c r="I125" s="198">
        <v>-1.8128026589484418E-2</v>
      </c>
      <c r="J125" s="199"/>
      <c r="L125" s="197">
        <f>L126+0.005</f>
        <v>6.5000000000000002E-2</v>
      </c>
      <c r="M125" s="350" t="e">
        <v>#DIV/0!</v>
      </c>
      <c r="N125" s="350" t="e">
        <v>#DIV/0!</v>
      </c>
      <c r="O125" s="350" t="e">
        <v>#DIV/0!</v>
      </c>
      <c r="P125" s="350" t="e">
        <v>#DIV/0!</v>
      </c>
      <c r="Q125" s="350" t="e">
        <v>#DIV/0!</v>
      </c>
    </row>
    <row r="126" spans="2:17" ht="15" customHeight="1" x14ac:dyDescent="0.2">
      <c r="B126" s="185"/>
      <c r="C126" s="190" t="s">
        <v>204</v>
      </c>
      <c r="D126" s="201">
        <v>0.06</v>
      </c>
      <c r="E126" s="198">
        <v>-1.8128026589484418E-2</v>
      </c>
      <c r="F126" s="198">
        <v>-1.8128026589484418E-2</v>
      </c>
      <c r="G126" s="198">
        <v>-1.8128026589484418E-2</v>
      </c>
      <c r="H126" s="198">
        <v>-1.8128026589484418E-2</v>
      </c>
      <c r="I126" s="198">
        <v>-1.8128026589484418E-2</v>
      </c>
      <c r="J126" s="199"/>
      <c r="K126" s="190" t="s">
        <v>204</v>
      </c>
      <c r="L126" s="201">
        <v>0.06</v>
      </c>
      <c r="M126" s="350" t="e">
        <v>#DIV/0!</v>
      </c>
      <c r="N126" s="350" t="e">
        <v>#DIV/0!</v>
      </c>
      <c r="O126" s="350" t="e">
        <v>#DIV/0!</v>
      </c>
      <c r="P126" s="350" t="e">
        <v>#DIV/0!</v>
      </c>
      <c r="Q126" s="350" t="e">
        <v>#DIV/0!</v>
      </c>
    </row>
    <row r="127" spans="2:17" ht="15" customHeight="1" x14ac:dyDescent="0.2">
      <c r="B127" s="185"/>
      <c r="D127" s="197">
        <f>D126-0.005</f>
        <v>5.5E-2</v>
      </c>
      <c r="E127" s="198">
        <v>-1.8128026589484418E-2</v>
      </c>
      <c r="F127" s="198">
        <v>-1.8128026589484418E-2</v>
      </c>
      <c r="G127" s="198">
        <v>-1.8128026589484418E-2</v>
      </c>
      <c r="H127" s="198">
        <v>-1.8128026589484418E-2</v>
      </c>
      <c r="I127" s="198">
        <v>-1.8128026589484418E-2</v>
      </c>
      <c r="J127" s="199"/>
      <c r="L127" s="197">
        <f>L126-0.005</f>
        <v>5.5E-2</v>
      </c>
      <c r="M127" s="350" t="e">
        <v>#DIV/0!</v>
      </c>
      <c r="N127" s="350" t="e">
        <v>#DIV/0!</v>
      </c>
      <c r="O127" s="350" t="e">
        <v>#DIV/0!</v>
      </c>
      <c r="P127" s="350" t="e">
        <v>#DIV/0!</v>
      </c>
      <c r="Q127" s="350" t="e">
        <v>#DIV/0!</v>
      </c>
    </row>
    <row r="128" spans="2:17" ht="15" customHeight="1" x14ac:dyDescent="0.2">
      <c r="B128" s="185"/>
      <c r="D128" s="203">
        <f>D127-0.005</f>
        <v>0.05</v>
      </c>
      <c r="E128" s="198">
        <v>-1.8128026589484418E-2</v>
      </c>
      <c r="F128" s="198">
        <v>-1.8128026589484418E-2</v>
      </c>
      <c r="G128" s="198">
        <v>-1.8128026589484418E-2</v>
      </c>
      <c r="H128" s="198">
        <v>-1.8128026589484418E-2</v>
      </c>
      <c r="I128" s="198">
        <v>-1.8128026589484418E-2</v>
      </c>
      <c r="J128" s="199"/>
      <c r="L128" s="203">
        <f>L127-0.005</f>
        <v>0.05</v>
      </c>
      <c r="M128" s="350" t="e">
        <v>#DIV/0!</v>
      </c>
      <c r="N128" s="350" t="e">
        <v>#DIV/0!</v>
      </c>
      <c r="O128" s="350" t="e">
        <v>#DIV/0!</v>
      </c>
      <c r="P128" s="350" t="e">
        <v>#DIV/0!</v>
      </c>
      <c r="Q128" s="350" t="e">
        <v>#DIV/0!</v>
      </c>
    </row>
    <row r="129" spans="2:16" x14ac:dyDescent="0.2">
      <c r="J129" s="210"/>
    </row>
    <row r="130" spans="2:16" x14ac:dyDescent="0.2">
      <c r="B130" s="211" t="s">
        <v>208</v>
      </c>
      <c r="C130" s="211"/>
      <c r="D130" s="211"/>
      <c r="E130" s="211"/>
      <c r="G130" s="211" t="s">
        <v>209</v>
      </c>
      <c r="H130" s="211"/>
      <c r="I130" s="211"/>
      <c r="J130" s="212"/>
      <c r="K130" s="211"/>
      <c r="L130" s="211"/>
      <c r="M130" s="211"/>
      <c r="N130" s="211"/>
      <c r="O130" s="211"/>
      <c r="P130" s="211"/>
    </row>
    <row r="131" spans="2:16" x14ac:dyDescent="0.2">
      <c r="J131" s="210"/>
    </row>
    <row r="132" spans="2:16" x14ac:dyDescent="0.2">
      <c r="J132" s="210"/>
    </row>
    <row r="133" spans="2:16" x14ac:dyDescent="0.2">
      <c r="J133" s="210"/>
    </row>
    <row r="134" spans="2:16" x14ac:dyDescent="0.2">
      <c r="J134" s="210"/>
    </row>
    <row r="135" spans="2:16" x14ac:dyDescent="0.2">
      <c r="J135" s="210"/>
    </row>
    <row r="136" spans="2:16" x14ac:dyDescent="0.2">
      <c r="J136" s="210"/>
    </row>
    <row r="137" spans="2:16" x14ac:dyDescent="0.2">
      <c r="J137" s="210"/>
    </row>
    <row r="138" spans="2:16" x14ac:dyDescent="0.2">
      <c r="J138" s="210"/>
    </row>
    <row r="139" spans="2:16" x14ac:dyDescent="0.2">
      <c r="J139" s="210"/>
    </row>
    <row r="140" spans="2:16" x14ac:dyDescent="0.2">
      <c r="J140" s="210"/>
    </row>
    <row r="141" spans="2:16" x14ac:dyDescent="0.2">
      <c r="J141" s="210"/>
    </row>
    <row r="142" spans="2:16" x14ac:dyDescent="0.2">
      <c r="J142" s="210"/>
    </row>
    <row r="143" spans="2:16" x14ac:dyDescent="0.2">
      <c r="J143" s="210"/>
    </row>
    <row r="144" spans="2:16" x14ac:dyDescent="0.2">
      <c r="J144" s="210"/>
      <c r="M144" s="213"/>
    </row>
    <row r="145" spans="2:17" x14ac:dyDescent="0.2">
      <c r="J145" s="210"/>
    </row>
    <row r="146" spans="2:17" x14ac:dyDescent="0.2">
      <c r="J146" s="210"/>
    </row>
    <row r="147" spans="2:17" x14ac:dyDescent="0.2">
      <c r="J147" s="210"/>
    </row>
    <row r="148" spans="2:17" x14ac:dyDescent="0.2">
      <c r="J148" s="210"/>
    </row>
    <row r="149" spans="2:17" x14ac:dyDescent="0.2">
      <c r="J149" s="210"/>
    </row>
    <row r="150" spans="2:17" x14ac:dyDescent="0.2">
      <c r="J150" s="210"/>
    </row>
    <row r="151" spans="2:17" x14ac:dyDescent="0.2">
      <c r="B151" s="214"/>
      <c r="C151" s="215" t="s">
        <v>210</v>
      </c>
      <c r="D151" s="215" t="s">
        <v>211</v>
      </c>
      <c r="E151" s="216" t="s">
        <v>212</v>
      </c>
      <c r="G151" s="214"/>
      <c r="H151" s="217"/>
      <c r="I151" s="217"/>
      <c r="J151" s="218"/>
      <c r="K151" s="217"/>
      <c r="L151" s="217"/>
      <c r="M151" s="217"/>
      <c r="N151" s="217"/>
      <c r="O151" s="215" t="s">
        <v>210</v>
      </c>
      <c r="P151" s="215" t="s">
        <v>211</v>
      </c>
      <c r="Q151" s="216" t="s">
        <v>212</v>
      </c>
    </row>
    <row r="152" spans="2:17" x14ac:dyDescent="0.2">
      <c r="B152" s="219" t="str">
        <f>"DCF Value at "&amp;TEXT(E123,"0.0x")&amp;"-"&amp;TEXT(I123,"0.0x")&amp;" Exit EBITDA Range at "&amp;TEXT(D126,"0.0%")&amp;" WACC"</f>
        <v>DCF Value at 12.5x-14.5x Exit EBITDA Range at 6.0% WACC</v>
      </c>
      <c r="C152" s="220">
        <f>E126</f>
        <v>-1.8128026589484418E-2</v>
      </c>
      <c r="D152" s="220">
        <f>E152-C152</f>
        <v>0</v>
      </c>
      <c r="E152" s="221">
        <f>I126</f>
        <v>-1.8128026589484418E-2</v>
      </c>
      <c r="G152" s="219" t="str">
        <f>"LTM EBITDA Purchase Multiple at "&amp;TEXT(M114,"0.0%")&amp;"-"&amp;TEXT(Q114,"0.0%")&amp;" Perpetuity Growth at "&amp;TEXT(L117,"0.0%")&amp;" WACC"</f>
        <v>LTM EBITDA Purchase Multiple at 2.0%-4.0% Perpetuity Growth at 6.0% WACC</v>
      </c>
      <c r="J152" s="210"/>
      <c r="O152" s="222">
        <f>M117</f>
        <v>0</v>
      </c>
      <c r="P152" s="222">
        <f>Q152-O152</f>
        <v>0</v>
      </c>
      <c r="Q152" s="223">
        <f>Q117</f>
        <v>0</v>
      </c>
    </row>
    <row r="153" spans="2:17" x14ac:dyDescent="0.2">
      <c r="B153" s="224" t="str">
        <f>"DCF Value at "&amp;TEXT(E114,"0.0%")&amp;"-"&amp;TEXT(I114,"0.0%")&amp;" Perpetuity Range at "&amp;TEXT(D126,"0.0%")&amp;" WACC"</f>
        <v>DCF Value at 2.0%-4.0% Perpetuity Range at 6.0% WACC</v>
      </c>
      <c r="C153" s="220">
        <f>E117</f>
        <v>-1.8128026589484418E-2</v>
      </c>
      <c r="D153" s="220">
        <f>E153-C153</f>
        <v>0</v>
      </c>
      <c r="E153" s="221">
        <f>I117</f>
        <v>-1.8128026589484418E-2</v>
      </c>
      <c r="G153" s="224" t="e">
        <f>"LTM EBITDA Purchase Multiple at "&amp;TEXT(M126,"0.0x")&amp;"-"&amp;TEXT(Q126,"0.0x")&amp;" Exit EBITDA Multiple at "&amp;TEXT(L126,"0.0%")&amp;" WACC"</f>
        <v>#DIV/0!</v>
      </c>
      <c r="J153" s="210"/>
      <c r="O153" s="222" t="e">
        <f>M126</f>
        <v>#DIV/0!</v>
      </c>
      <c r="P153" s="222" t="e">
        <f>Q153-O153</f>
        <v>#DIV/0!</v>
      </c>
      <c r="Q153" s="223" t="e">
        <f>Q126</f>
        <v>#DIV/0!</v>
      </c>
    </row>
    <row r="154" spans="2:17" x14ac:dyDescent="0.2">
      <c r="B154" s="225" t="s">
        <v>213</v>
      </c>
      <c r="C154" s="226">
        <v>169.5</v>
      </c>
      <c r="D154" s="226">
        <f>E154-C154</f>
        <v>158.35000000000002</v>
      </c>
      <c r="E154" s="227">
        <v>327.85</v>
      </c>
      <c r="G154" s="225" t="str">
        <f>"LTM EBITDA Purchase Multiple at "&amp;TEXT(L128,"0.0%")&amp;"-"&amp;TEXT(L124,"0.0%")&amp;" WACC at "&amp;TEXT(O123,"0.0x")&amp;" Exit EBITDA"</f>
        <v>LTM EBITDA Purchase Multiple at 5.0%-7.0% WACC at 13.5x Exit EBITDA</v>
      </c>
      <c r="H154" s="228"/>
      <c r="I154" s="228"/>
      <c r="J154" s="229"/>
      <c r="K154" s="228"/>
      <c r="L154" s="228"/>
      <c r="M154" s="228"/>
      <c r="N154" s="228"/>
      <c r="O154" s="230" t="e">
        <f>O124</f>
        <v>#DIV/0!</v>
      </c>
      <c r="P154" s="230" t="e">
        <f>Q154-O154</f>
        <v>#DIV/0!</v>
      </c>
      <c r="Q154" s="231" t="e">
        <f>O128</f>
        <v>#DIV/0!</v>
      </c>
    </row>
    <row r="155" spans="2:17" x14ac:dyDescent="0.2">
      <c r="J155" s="210"/>
    </row>
    <row r="156" spans="2:17" x14ac:dyDescent="0.2">
      <c r="J156" s="210"/>
    </row>
  </sheetData>
  <mergeCells count="4">
    <mergeCell ref="E14:G14"/>
    <mergeCell ref="M4:N4"/>
    <mergeCell ref="L3:N3"/>
    <mergeCell ref="P3:V3"/>
  </mergeCells>
  <conditionalFormatting sqref="E115:J119 E124:J128">
    <cfRule type="cellIs" dxfId="0" priority="1" operator="lessThan">
      <formula>$C$9</formula>
    </cfRule>
  </conditionalFormatting>
  <dataValidations disablePrompts="1" count="1">
    <dataValidation type="list" allowBlank="1" showInputMessage="1" showErrorMessage="1" sqref="H9" xr:uid="{386B5D52-2979-4A10-8AC2-87A981649FF2}">
      <formula1>"0,1"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A3BF-941A-4A5F-875A-3850FF2F5683}">
  <dimension ref="B2:E6"/>
  <sheetViews>
    <sheetView zoomScale="235" zoomScaleNormal="235" workbookViewId="0">
      <selection activeCell="B3" sqref="B3:E6"/>
    </sheetView>
  </sheetViews>
  <sheetFormatPr baseColWidth="10" defaultColWidth="8.83203125" defaultRowHeight="14" x14ac:dyDescent="0.2"/>
  <cols>
    <col min="2" max="2" width="18.1640625" bestFit="1" customWidth="1"/>
    <col min="3" max="3" width="9.83203125" bestFit="1" customWidth="1"/>
  </cols>
  <sheetData>
    <row r="2" spans="2:5" x14ac:dyDescent="0.2">
      <c r="B2" s="368" t="s">
        <v>269</v>
      </c>
      <c r="C2" s="368" t="s">
        <v>90</v>
      </c>
      <c r="D2" s="368" t="s">
        <v>89</v>
      </c>
      <c r="E2" s="368" t="s">
        <v>270</v>
      </c>
    </row>
    <row r="3" spans="2:5" x14ac:dyDescent="0.2">
      <c r="B3" s="367"/>
      <c r="C3" s="367"/>
      <c r="D3" s="367"/>
      <c r="E3" s="367"/>
    </row>
    <row r="4" spans="2:5" x14ac:dyDescent="0.2">
      <c r="B4" s="367"/>
      <c r="C4" s="367"/>
      <c r="D4" s="367"/>
      <c r="E4" s="367"/>
    </row>
    <row r="5" spans="2:5" x14ac:dyDescent="0.2">
      <c r="B5" s="367"/>
      <c r="C5" s="367"/>
      <c r="D5" s="367"/>
      <c r="E5" s="367"/>
    </row>
    <row r="6" spans="2:5" x14ac:dyDescent="0.2">
      <c r="B6" s="367"/>
      <c r="C6" s="367"/>
      <c r="D6" s="367"/>
      <c r="E6" s="36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1B7B-724F-4C3D-BB7E-936BBF56ABA0}">
  <dimension ref="B2:G30"/>
  <sheetViews>
    <sheetView zoomScaleNormal="100" workbookViewId="0">
      <selection activeCell="E22" sqref="E22"/>
    </sheetView>
  </sheetViews>
  <sheetFormatPr baseColWidth="10" defaultColWidth="9" defaultRowHeight="15" x14ac:dyDescent="0.2"/>
  <cols>
    <col min="1" max="1" width="9" style="232"/>
    <col min="2" max="2" width="25" style="232" bestFit="1" customWidth="1"/>
    <col min="3" max="3" width="24.83203125" style="232" bestFit="1" customWidth="1"/>
    <col min="4" max="4" width="9" style="232"/>
    <col min="5" max="5" width="19.83203125" style="232" bestFit="1" customWidth="1"/>
    <col min="6" max="6" width="8.6640625" style="232" bestFit="1" customWidth="1"/>
    <col min="7" max="8" width="9" style="232"/>
    <col min="9" max="9" width="10.1640625" style="232" bestFit="1" customWidth="1"/>
    <col min="10" max="16384" width="9" style="232"/>
  </cols>
  <sheetData>
    <row r="2" spans="2:7" x14ac:dyDescent="0.2">
      <c r="C2" s="346" t="s">
        <v>241</v>
      </c>
      <c r="D2" s="346" t="s">
        <v>242</v>
      </c>
      <c r="E2" s="346"/>
    </row>
    <row r="3" spans="2:7" x14ac:dyDescent="0.2">
      <c r="B3" s="232" t="s">
        <v>214</v>
      </c>
      <c r="C3" s="347">
        <f>'Detail Data'!D3</f>
        <v>32434.164000000004</v>
      </c>
      <c r="D3" s="233">
        <f>C3/C5</f>
        <v>0.87387433408978565</v>
      </c>
      <c r="E3" s="351"/>
    </row>
    <row r="4" spans="2:7" x14ac:dyDescent="0.2">
      <c r="B4" s="232" t="s">
        <v>215</v>
      </c>
      <c r="C4" s="347">
        <f>'Detail Data'!D34</f>
        <v>4681.2</v>
      </c>
      <c r="D4" s="233">
        <f>C4/C5</f>
        <v>0.12612566591021443</v>
      </c>
      <c r="E4" s="351"/>
      <c r="G4" s="234"/>
    </row>
    <row r="5" spans="2:7" x14ac:dyDescent="0.2">
      <c r="B5" s="232" t="s">
        <v>216</v>
      </c>
      <c r="C5" s="347">
        <f>C3+C4</f>
        <v>37115.364000000001</v>
      </c>
      <c r="F5" s="235"/>
      <c r="G5" s="234"/>
    </row>
    <row r="7" spans="2:7" x14ac:dyDescent="0.2">
      <c r="C7" s="232" t="s">
        <v>217</v>
      </c>
    </row>
    <row r="8" spans="2:7" x14ac:dyDescent="0.2">
      <c r="C8" s="232" t="s">
        <v>218</v>
      </c>
      <c r="D8" s="236"/>
      <c r="F8" s="357" t="s">
        <v>254</v>
      </c>
    </row>
    <row r="9" spans="2:7" x14ac:dyDescent="0.2">
      <c r="C9" s="232" t="s">
        <v>219</v>
      </c>
      <c r="D9" s="236"/>
    </row>
    <row r="10" spans="2:7" x14ac:dyDescent="0.2">
      <c r="C10" s="232" t="s">
        <v>220</v>
      </c>
      <c r="D10" s="348"/>
    </row>
    <row r="11" spans="2:7" x14ac:dyDescent="0.2">
      <c r="C11" s="232" t="s">
        <v>221</v>
      </c>
      <c r="D11" s="236"/>
    </row>
    <row r="12" spans="2:7" x14ac:dyDescent="0.2">
      <c r="D12" s="236"/>
    </row>
    <row r="13" spans="2:7" x14ac:dyDescent="0.2">
      <c r="C13" s="232" t="s">
        <v>222</v>
      </c>
      <c r="D13" s="236"/>
      <c r="E13" s="361"/>
    </row>
    <row r="14" spans="2:7" x14ac:dyDescent="0.2">
      <c r="C14" s="232" t="s">
        <v>139</v>
      </c>
      <c r="D14" s="236"/>
      <c r="E14" s="362"/>
    </row>
    <row r="15" spans="2:7" x14ac:dyDescent="0.2">
      <c r="D15" s="236"/>
    </row>
    <row r="16" spans="2:7" x14ac:dyDescent="0.2">
      <c r="C16" s="232" t="s">
        <v>223</v>
      </c>
      <c r="D16" s="236">
        <f>D3*D11+D4*D13*(1-D14)</f>
        <v>0</v>
      </c>
    </row>
    <row r="20" spans="2:3" x14ac:dyDescent="0.2">
      <c r="B20" s="352" t="s">
        <v>245</v>
      </c>
      <c r="C20" s="233"/>
    </row>
    <row r="21" spans="2:3" x14ac:dyDescent="0.2">
      <c r="B21" s="357" t="s">
        <v>255</v>
      </c>
      <c r="C21" s="358"/>
    </row>
    <row r="22" spans="2:3" x14ac:dyDescent="0.2">
      <c r="B22" s="357" t="s">
        <v>256</v>
      </c>
      <c r="C22" s="234"/>
    </row>
    <row r="23" spans="2:3" x14ac:dyDescent="0.2">
      <c r="B23" s="357" t="s">
        <v>257</v>
      </c>
      <c r="C23" s="236"/>
    </row>
    <row r="25" spans="2:3" x14ac:dyDescent="0.2">
      <c r="B25" s="357" t="s">
        <v>258</v>
      </c>
      <c r="C25" s="359"/>
    </row>
    <row r="27" spans="2:3" x14ac:dyDescent="0.2">
      <c r="B27" s="357" t="s">
        <v>259</v>
      </c>
    </row>
    <row r="28" spans="2:3" x14ac:dyDescent="0.2">
      <c r="B28" s="357" t="s">
        <v>260</v>
      </c>
      <c r="C28" s="360"/>
    </row>
    <row r="29" spans="2:3" x14ac:dyDescent="0.2">
      <c r="B29" s="357" t="s">
        <v>261</v>
      </c>
      <c r="C29" s="360"/>
    </row>
    <row r="30" spans="2:3" x14ac:dyDescent="0.2">
      <c r="B30" s="357" t="s">
        <v>262</v>
      </c>
      <c r="C30" s="35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19c134a-14c9-4d4c-af65-c420f94c8cbb}" enabled="0" method="" siteId="{b19c134a-14c9-4d4c-af65-c420f94c8c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FrontPage</vt:lpstr>
      <vt:lpstr>Detail Data</vt:lpstr>
      <vt:lpstr>DCF 1-Pager</vt:lpstr>
      <vt:lpstr>Relative Valuation</vt:lpstr>
      <vt:lpstr>WACC calculation</vt:lpstr>
      <vt:lpstr>FrontPage!COMPANY_NAME</vt:lpstr>
      <vt:lpstr>DETAIL</vt:lpstr>
      <vt:lpstr>FrontPage</vt:lpstr>
      <vt:lpstr>FUNDAMENTALS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Piotrowski</dc:creator>
  <cp:keywords/>
  <dc:description/>
  <cp:lastModifiedBy>Lester, Chris</cp:lastModifiedBy>
  <cp:revision>0</cp:revision>
  <dcterms:created xsi:type="dcterms:W3CDTF">1999-08-06T00:33:52Z</dcterms:created>
  <dcterms:modified xsi:type="dcterms:W3CDTF">2026-10-05T00:51:26Z</dcterms:modified>
  <cp:category/>
  <cp:contentStatus/>
</cp:coreProperties>
</file>