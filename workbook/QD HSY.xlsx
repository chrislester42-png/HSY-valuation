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ink/ink1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chrislester/Downloads/FIN 5370/AI Track/Module 2/"/>
    </mc:Choice>
  </mc:AlternateContent>
  <xr:revisionPtr revIDLastSave="0" documentId="13_ncr:1_{5070904E-474B-484D-A273-1B3A08D4621D}" xr6:coauthVersionLast="47" xr6:coauthVersionMax="47" xr10:uidLastSave="{00000000-0000-0000-0000-000000000000}"/>
  <bookViews>
    <workbookView xWindow="0" yWindow="600" windowWidth="28800" windowHeight="15720" tabRatio="500" xr2:uid="{00000000-000D-0000-FFFF-FFFF00000000}"/>
  </bookViews>
  <sheets>
    <sheet name="FrontPage" sheetId="1" r:id="rId1"/>
    <sheet name="Detail Data" sheetId="2" r:id="rId2"/>
    <sheet name="DCF 1-Pager" sheetId="5" r:id="rId3"/>
    <sheet name="WACC calculation" sheetId="6" r:id="rId4"/>
    <sheet name="Key Defns" sheetId="3" r:id="rId5"/>
    <sheet name="Sheet1" sheetId="4" r:id="rId6"/>
  </sheets>
  <definedNames>
    <definedName name="CIQWBGuid" localSheetId="2" hidden="1">"DCF_complete.xlsx"</definedName>
    <definedName name="CIQWBGuid" hidden="1">"a611639b-bab1-425e-aaa5-008c326fdfdb"</definedName>
    <definedName name="COMPANY_NAME" localSheetId="0">FrontPage!$A$1:$M$40</definedName>
    <definedName name="DETAIL">'Detail Data'!$A$1:$G$40</definedName>
    <definedName name="FrontPage">FrontPage!$A$1:$G$40</definedName>
    <definedName name="FUNDAMENTALS">FrontPage!$H$2:$M$40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2" hidden="1">#REF!</definedName>
    <definedName name="MLNKa7775792bf444a4785f8ed5c82461a24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2" l="1"/>
  <c r="C7" i="2"/>
  <c r="D107" i="5"/>
  <c r="B48" i="5"/>
  <c r="G88" i="5"/>
  <c r="E95" i="5" s="1"/>
  <c r="F88" i="5"/>
  <c r="E88" i="5"/>
  <c r="N114" i="5"/>
  <c r="M114" i="5" s="1"/>
  <c r="P114" i="5"/>
  <c r="F19" i="2"/>
  <c r="G19" i="2"/>
  <c r="E19" i="2"/>
  <c r="C4" i="6"/>
  <c r="C11" i="6"/>
  <c r="D25" i="5"/>
  <c r="G25" i="5"/>
  <c r="F25" i="5"/>
  <c r="E25" i="5"/>
  <c r="D37" i="2"/>
  <c r="C37" i="2"/>
  <c r="F30" i="5"/>
  <c r="G30" i="5"/>
  <c r="D30" i="5"/>
  <c r="E30" i="5"/>
  <c r="C66" i="5"/>
  <c r="C61" i="5"/>
  <c r="G41" i="5"/>
  <c r="F41" i="5"/>
  <c r="E41" i="5"/>
  <c r="G2" i="2"/>
  <c r="G15" i="5" s="1"/>
  <c r="F2" i="2"/>
  <c r="F15" i="5" s="1"/>
  <c r="E2" i="2"/>
  <c r="E15" i="5" s="1"/>
  <c r="E38" i="2"/>
  <c r="G18" i="2"/>
  <c r="F18" i="2"/>
  <c r="E6" i="2"/>
  <c r="D21" i="2"/>
  <c r="C21" i="2"/>
  <c r="C26" i="2" s="1"/>
  <c r="D9" i="2"/>
  <c r="D7" i="2" s="1"/>
  <c r="D2" i="2"/>
  <c r="D15" i="5" s="1"/>
  <c r="C2" i="2"/>
  <c r="D5" i="5"/>
  <c r="D4" i="5"/>
  <c r="E7" i="1"/>
  <c r="D21" i="5"/>
  <c r="G17" i="5"/>
  <c r="E17" i="5"/>
  <c r="F17" i="5"/>
  <c r="D17" i="5"/>
  <c r="H7" i="5"/>
  <c r="D9" i="5"/>
  <c r="Q154" i="5"/>
  <c r="O154" i="5"/>
  <c r="D154" i="5"/>
  <c r="Q153" i="5"/>
  <c r="O153" i="5"/>
  <c r="G153" i="5"/>
  <c r="E153" i="5"/>
  <c r="C153" i="5"/>
  <c r="Q152" i="5"/>
  <c r="O152" i="5"/>
  <c r="E152" i="5"/>
  <c r="C152" i="5"/>
  <c r="L127" i="5"/>
  <c r="L128" i="5" s="1"/>
  <c r="D127" i="5"/>
  <c r="D128" i="5" s="1"/>
  <c r="L125" i="5"/>
  <c r="L124" i="5" s="1"/>
  <c r="D125" i="5"/>
  <c r="D124" i="5" s="1"/>
  <c r="P123" i="5"/>
  <c r="Q123" i="5" s="1"/>
  <c r="N123" i="5"/>
  <c r="M123" i="5" s="1"/>
  <c r="H123" i="5"/>
  <c r="I123" i="5" s="1"/>
  <c r="F123" i="5"/>
  <c r="E123" i="5" s="1"/>
  <c r="B152" i="5" s="1"/>
  <c r="L118" i="5"/>
  <c r="L119" i="5" s="1"/>
  <c r="D118" i="5"/>
  <c r="D119" i="5" s="1"/>
  <c r="L116" i="5"/>
  <c r="D116" i="5"/>
  <c r="L115" i="5"/>
  <c r="D115" i="5"/>
  <c r="H114" i="5"/>
  <c r="I114" i="5" s="1"/>
  <c r="F114" i="5"/>
  <c r="E114" i="5" s="1"/>
  <c r="B153" i="5" s="1"/>
  <c r="D76" i="5"/>
  <c r="I60" i="5"/>
  <c r="I65" i="5" s="1"/>
  <c r="D7" i="5"/>
  <c r="D10" i="5" s="1"/>
  <c r="C42" i="5" s="1"/>
  <c r="C89" i="5" s="1"/>
  <c r="A20" i="3"/>
  <c r="A19" i="3"/>
  <c r="K48" i="1"/>
  <c r="I48" i="1"/>
  <c r="I46" i="1"/>
  <c r="M39" i="1"/>
  <c r="M37" i="1"/>
  <c r="M36" i="1"/>
  <c r="I35" i="1"/>
  <c r="I30" i="1"/>
  <c r="D31" i="5" s="1"/>
  <c r="E31" i="5" s="1"/>
  <c r="F31" i="5" s="1"/>
  <c r="G31" i="5" s="1"/>
  <c r="I29" i="1"/>
  <c r="I23" i="1"/>
  <c r="I15" i="1"/>
  <c r="I14" i="1"/>
  <c r="I13" i="1"/>
  <c r="M10" i="1"/>
  <c r="G9" i="1"/>
  <c r="E9" i="1"/>
  <c r="G8" i="1"/>
  <c r="E8" i="1"/>
  <c r="G7" i="1"/>
  <c r="I21" i="1"/>
  <c r="G33" i="2"/>
  <c r="F33" i="2"/>
  <c r="E33" i="2"/>
  <c r="C33" i="2"/>
  <c r="D33" i="2"/>
  <c r="I20" i="1"/>
  <c r="C29" i="2"/>
  <c r="G25" i="2"/>
  <c r="F25" i="2"/>
  <c r="E25" i="2"/>
  <c r="I8" i="1" s="1"/>
  <c r="D25" i="2"/>
  <c r="C25" i="2"/>
  <c r="D24" i="2"/>
  <c r="C24" i="2"/>
  <c r="G23" i="2"/>
  <c r="F23" i="2"/>
  <c r="E23" i="2"/>
  <c r="I6" i="1" s="1"/>
  <c r="D23" i="2"/>
  <c r="C23" i="2"/>
  <c r="I7" i="1" s="1"/>
  <c r="E18" i="2"/>
  <c r="D18" i="2"/>
  <c r="A18" i="2"/>
  <c r="C11" i="2"/>
  <c r="A8" i="2"/>
  <c r="A7" i="2"/>
  <c r="G6" i="2"/>
  <c r="F6" i="2"/>
  <c r="D6" i="2"/>
  <c r="A6" i="2"/>
  <c r="A5" i="2"/>
  <c r="C3" i="2"/>
  <c r="D88" i="5" l="1"/>
  <c r="D41" i="5"/>
  <c r="B39" i="5"/>
  <c r="D39" i="2"/>
  <c r="C69" i="5"/>
  <c r="C74" i="5" s="1"/>
  <c r="D74" i="5" s="1"/>
  <c r="D41" i="2"/>
  <c r="E48" i="5"/>
  <c r="B47" i="5"/>
  <c r="G154" i="5"/>
  <c r="B95" i="5"/>
  <c r="B94" i="5"/>
  <c r="H8" i="5"/>
  <c r="B86" i="5"/>
  <c r="C14" i="6"/>
  <c r="Q114" i="5"/>
  <c r="G152" i="5" s="1"/>
  <c r="F38" i="2"/>
  <c r="E16" i="2"/>
  <c r="G39" i="2"/>
  <c r="F39" i="2"/>
  <c r="E39" i="2"/>
  <c r="C12" i="2"/>
  <c r="D8" i="2"/>
  <c r="P154" i="5"/>
  <c r="E9" i="2"/>
  <c r="I9" i="1"/>
  <c r="D12" i="2"/>
  <c r="E8" i="2"/>
  <c r="C4" i="2"/>
  <c r="E18" i="5"/>
  <c r="D24" i="5"/>
  <c r="D26" i="5" s="1"/>
  <c r="G18" i="5"/>
  <c r="F18" i="5"/>
  <c r="G36" i="5"/>
  <c r="G37" i="5" s="1"/>
  <c r="F36" i="5"/>
  <c r="C36" i="5"/>
  <c r="D36" i="5"/>
  <c r="E36" i="5"/>
  <c r="P152" i="5"/>
  <c r="D153" i="5"/>
  <c r="D22" i="5"/>
  <c r="P153" i="5"/>
  <c r="D152" i="5"/>
  <c r="G22" i="2"/>
  <c r="G14" i="2"/>
  <c r="G10" i="2"/>
  <c r="G27" i="2"/>
  <c r="G36" i="2"/>
  <c r="F22" i="2"/>
  <c r="F14" i="2"/>
  <c r="F10" i="2"/>
  <c r="F36" i="2"/>
  <c r="F27" i="2"/>
  <c r="I24" i="1"/>
  <c r="I22" i="1"/>
  <c r="I25" i="1"/>
  <c r="E27" i="2"/>
  <c r="E36" i="2"/>
  <c r="E22" i="2"/>
  <c r="E14" i="2"/>
  <c r="E10" i="2"/>
  <c r="D14" i="2"/>
  <c r="D22" i="2"/>
  <c r="D36" i="2"/>
  <c r="D27" i="2"/>
  <c r="D10" i="2"/>
  <c r="C27" i="2"/>
  <c r="C36" i="2"/>
  <c r="C10" i="2"/>
  <c r="C14" i="2"/>
  <c r="C22" i="2"/>
  <c r="E7" i="2" l="1"/>
  <c r="I38" i="1"/>
  <c r="I40" i="1" s="1"/>
  <c r="D42" i="2"/>
  <c r="E89" i="5" s="1"/>
  <c r="E90" i="5" s="1"/>
  <c r="I97" i="5" s="1"/>
  <c r="D29" i="5"/>
  <c r="F16" i="2"/>
  <c r="G38" i="2"/>
  <c r="G16" i="2" s="1"/>
  <c r="E21" i="5"/>
  <c r="E24" i="2"/>
  <c r="E37" i="2"/>
  <c r="E41" i="2" s="1"/>
  <c r="F37" i="5"/>
  <c r="G29" i="5"/>
  <c r="D37" i="5"/>
  <c r="E29" i="5"/>
  <c r="E37" i="5"/>
  <c r="F29" i="5"/>
  <c r="C13" i="2"/>
  <c r="F13" i="2"/>
  <c r="E13" i="2"/>
  <c r="G13" i="2"/>
  <c r="D13" i="2"/>
  <c r="D26" i="2"/>
  <c r="D19" i="5"/>
  <c r="D28" i="5" s="1"/>
  <c r="I16" i="1" l="1"/>
  <c r="F8" i="2"/>
  <c r="E12" i="2"/>
  <c r="I27" i="1"/>
  <c r="E42" i="2"/>
  <c r="F89" i="5" s="1"/>
  <c r="F90" i="5" s="1"/>
  <c r="M8" i="1"/>
  <c r="M11" i="1" s="1"/>
  <c r="E44" i="2"/>
  <c r="I26" i="1"/>
  <c r="E22" i="5"/>
  <c r="E24" i="5"/>
  <c r="E26" i="5" s="1"/>
  <c r="F21" i="5"/>
  <c r="F24" i="2"/>
  <c r="F37" i="2"/>
  <c r="F41" i="2" s="1"/>
  <c r="G24" i="2"/>
  <c r="G37" i="2"/>
  <c r="G41" i="2" s="1"/>
  <c r="G21" i="5"/>
  <c r="G22" i="5" s="1"/>
  <c r="D20" i="5"/>
  <c r="D11" i="2"/>
  <c r="D3" i="2"/>
  <c r="C3" i="6" s="1"/>
  <c r="L13" i="1" l="1"/>
  <c r="B2" i="3"/>
  <c r="M29" i="1"/>
  <c r="G42" i="2"/>
  <c r="G44" i="2"/>
  <c r="F44" i="2"/>
  <c r="F42" i="2"/>
  <c r="G89" i="5" s="1"/>
  <c r="I31" i="1"/>
  <c r="I32" i="1"/>
  <c r="F22" i="5"/>
  <c r="F24" i="5"/>
  <c r="F26" i="5" s="1"/>
  <c r="C5" i="6"/>
  <c r="M13" i="1"/>
  <c r="E26" i="2"/>
  <c r="E19" i="5"/>
  <c r="E28" i="5" s="1"/>
  <c r="E42" i="5" s="1"/>
  <c r="G24" i="5"/>
  <c r="G26" i="5" s="1"/>
  <c r="I93" i="5" s="1"/>
  <c r="I95" i="5" s="1"/>
  <c r="D29" i="2"/>
  <c r="D4" i="2"/>
  <c r="D45" i="2" s="1"/>
  <c r="D4" i="6" l="1"/>
  <c r="D3" i="6"/>
  <c r="C16" i="6" s="1"/>
  <c r="H6" i="5" s="1"/>
  <c r="E43" i="5" s="1"/>
  <c r="C94" i="5"/>
  <c r="C95" i="5" s="1"/>
  <c r="G90" i="5"/>
  <c r="I102" i="5"/>
  <c r="I96" i="5"/>
  <c r="I98" i="5" s="1"/>
  <c r="D106" i="5" s="1"/>
  <c r="D108" i="5" s="1"/>
  <c r="I11" i="1"/>
  <c r="I10" i="1"/>
  <c r="E20" i="5"/>
  <c r="G26" i="2"/>
  <c r="G19" i="5"/>
  <c r="F26" i="2"/>
  <c r="F19" i="5"/>
  <c r="C102" i="5" l="1"/>
  <c r="C96" i="5"/>
  <c r="I46" i="5"/>
  <c r="I48" i="5" s="1"/>
  <c r="I49" i="5" s="1"/>
  <c r="C97" i="5"/>
  <c r="C98" i="5" l="1"/>
  <c r="C106" i="5" s="1"/>
  <c r="M9" i="1"/>
  <c r="F9" i="2"/>
  <c r="F7" i="2" s="1"/>
  <c r="M3" i="1"/>
  <c r="B13" i="3"/>
  <c r="E3" i="2"/>
  <c r="E11" i="2" s="1"/>
  <c r="M14" i="1" l="1"/>
  <c r="I17" i="1"/>
  <c r="G8" i="2"/>
  <c r="F12" i="2"/>
  <c r="L14" i="1" s="1"/>
  <c r="M4" i="1"/>
  <c r="E29" i="2"/>
  <c r="M6" i="1"/>
  <c r="M7" i="1" s="1"/>
  <c r="G9" i="2"/>
  <c r="G7" i="2" s="1"/>
  <c r="F29" i="2"/>
  <c r="F3" i="2"/>
  <c r="L16" i="1"/>
  <c r="M16" i="1"/>
  <c r="M17" i="1"/>
  <c r="M30" i="1"/>
  <c r="B10" i="3"/>
  <c r="B12" i="3"/>
  <c r="E4" i="2"/>
  <c r="E45" i="2" s="1"/>
  <c r="B11" i="3"/>
  <c r="B14" i="3" s="1"/>
  <c r="B15" i="3" s="1"/>
  <c r="M22" i="1" l="1"/>
  <c r="M24" i="1"/>
  <c r="M23" i="1"/>
  <c r="L22" i="1"/>
  <c r="M32" i="1"/>
  <c r="M18" i="1"/>
  <c r="F4" i="2"/>
  <c r="F45" i="2" s="1"/>
  <c r="L23" i="1" s="1"/>
  <c r="F11" i="2"/>
  <c r="L17" i="1" s="1"/>
  <c r="G29" i="2"/>
  <c r="G3" i="2"/>
  <c r="L20" i="1"/>
  <c r="M15" i="1" l="1"/>
  <c r="I18" i="1"/>
  <c r="B3" i="3"/>
  <c r="B4" i="3" s="1"/>
  <c r="B8" i="3" s="1"/>
  <c r="G12" i="2"/>
  <c r="L15" i="1" s="1"/>
  <c r="G4" i="2"/>
  <c r="G45" i="2" s="1"/>
  <c r="L24" i="1" s="1"/>
  <c r="G11" i="2"/>
  <c r="L18" i="1" s="1"/>
  <c r="L21" i="1"/>
  <c r="M31" i="1"/>
  <c r="M21" i="1"/>
  <c r="L19" i="1"/>
  <c r="M19" i="1"/>
  <c r="M20" i="1"/>
  <c r="F20" i="5" l="1"/>
  <c r="F28" i="5"/>
  <c r="F42" i="5" s="1"/>
  <c r="F43" i="5" s="1"/>
  <c r="G20" i="5"/>
  <c r="G28" i="5"/>
  <c r="G42" i="5" s="1"/>
  <c r="C47" i="5" l="1"/>
  <c r="C48" i="5" s="1"/>
  <c r="I55" i="5"/>
  <c r="G43" i="5"/>
  <c r="C50" i="5" s="1"/>
  <c r="C49" i="5" l="1"/>
  <c r="C55" i="5"/>
  <c r="I50" i="5"/>
  <c r="I51" i="5" s="1"/>
  <c r="I100" i="5" l="1"/>
  <c r="I101" i="5"/>
  <c r="I54" i="5"/>
  <c r="C51" i="5"/>
  <c r="D73" i="5"/>
  <c r="I53" i="5"/>
  <c r="C101" i="5" l="1"/>
  <c r="C100" i="5"/>
  <c r="C73" i="5"/>
  <c r="C54" i="5"/>
  <c r="C53" i="5"/>
  <c r="D82" i="5"/>
  <c r="D80" i="5"/>
  <c r="D81" i="5"/>
  <c r="L123" i="5" s="1"/>
  <c r="D75" i="5"/>
  <c r="D77" i="5" s="1"/>
  <c r="D123" i="5" s="1"/>
  <c r="C108" i="5" l="1"/>
  <c r="C82" i="5"/>
  <c r="C80" i="5"/>
  <c r="C81" i="5"/>
  <c r="L114" i="5" s="1"/>
  <c r="C75" i="5"/>
  <c r="C77" i="5" s="1"/>
  <c r="D11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000-000001000000}">
      <text>
        <r>
          <rPr>
            <sz val="10"/>
            <rFont val="Arial"/>
            <family val="2"/>
          </rPr>
          <t>Richard Piotrowski:
Goldman Sachs</t>
        </r>
      </text>
    </comment>
    <comment ref="F8" authorId="0" shapeId="0" xr:uid="{00000000-0006-0000-0000-000003000000}">
      <text>
        <r>
          <rPr>
            <sz val="10"/>
            <rFont val="Arial"/>
            <family val="2"/>
          </rPr>
          <t>Richard Piotrowski:
FactSet</t>
        </r>
      </text>
    </comment>
    <comment ref="C9" authorId="0" shapeId="0" xr:uid="{00000000-0006-0000-0000-000002000000}">
      <text>
        <r>
          <rPr>
            <sz val="10"/>
            <rFont val="Arial"/>
            <family val="2"/>
          </rPr>
          <t>Richard Piotrowski:
Goldman Sachs</t>
        </r>
      </text>
    </comment>
    <comment ref="F9" authorId="0" shapeId="0" xr:uid="{00000000-0006-0000-0000-000004000000}">
      <text>
        <r>
          <rPr>
            <sz val="10"/>
            <rFont val="Arial"/>
            <family val="2"/>
          </rPr>
          <t>Richard Piotrowski:
FactSet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Matan Feldman</author>
    <author>Wall Street Prep</author>
  </authors>
  <commentList>
    <comment ref="H9" authorId="0" shapeId="0" xr:uid="{581D1874-9CDF-4D68-B6CB-3D23E53BF552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1 = Midyear CF
0 = End of year CF</t>
        </r>
      </text>
    </comment>
    <comment ref="I55" authorId="1" shapeId="0" xr:uid="{6DE3F29E-4878-45AC-A7D3-07C71A9C7502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
</t>
        </r>
      </text>
    </comment>
    <comment ref="B66" authorId="0" shapeId="0" xr:uid="{4C8374CA-5504-47AF-BD89-B3623237E710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Include cash &amp; equivalents, short term and long term marketable securites and investments</t>
        </r>
      </text>
    </comment>
    <comment ref="N82" authorId="1" shapeId="0" xr:uid="{DB1AA8F1-669A-499B-ADBC-16C92D2C150E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
</t>
        </r>
      </text>
    </comment>
    <comment ref="I102" authorId="1" shapeId="0" xr:uid="{621A476D-8656-4946-A3BC-9503BC2F94FF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
</t>
        </r>
      </text>
    </comment>
  </commentList>
</comments>
</file>

<file path=xl/sharedStrings.xml><?xml version="1.0" encoding="utf-8"?>
<sst xmlns="http://schemas.openxmlformats.org/spreadsheetml/2006/main" count="408" uniqueCount="347">
  <si>
    <t>Share Symbol:</t>
  </si>
  <si>
    <t>Exchange Traded:</t>
  </si>
  <si>
    <t>FUNDAMENTALS</t>
  </si>
  <si>
    <t>Recent price: (US$)</t>
  </si>
  <si>
    <t>Student:</t>
  </si>
  <si>
    <t>Most Recent Qtr Report</t>
  </si>
  <si>
    <t>Market Capitalization (M $$)</t>
  </si>
  <si>
    <t>Date:</t>
  </si>
  <si>
    <t>TXST Email:</t>
  </si>
  <si>
    <t>Last Full Fiscal Year</t>
  </si>
  <si>
    <t>Enterprise Value (M $$)</t>
  </si>
  <si>
    <t>Index</t>
  </si>
  <si>
    <t>Earnings (GAAP)</t>
  </si>
  <si>
    <t>E (% Chg)-cagr</t>
  </si>
  <si>
    <t>Multiple</t>
  </si>
  <si>
    <t>Profitability</t>
  </si>
  <si>
    <t>Balance Sheet</t>
  </si>
  <si>
    <t>S&amp;P 500 (t-1)</t>
  </si>
  <si>
    <t>Gross Margin (%)</t>
  </si>
  <si>
    <t>Cash - M $$</t>
  </si>
  <si>
    <t>S&amp;P 500 (Current)</t>
  </si>
  <si>
    <t>Avg Gross Margin (3 yrs)</t>
  </si>
  <si>
    <t>Cash per Share - $$</t>
  </si>
  <si>
    <t>S&amp;P 500 (t+1)</t>
  </si>
  <si>
    <t>Net Margin (%)</t>
  </si>
  <si>
    <t>Free Cash Flow  to the firm- M $$</t>
  </si>
  <si>
    <t>S&amp;P 500 (t+2)</t>
  </si>
  <si>
    <t>Net Margin (3 Yrs)</t>
  </si>
  <si>
    <t>FCFF per Share - SS</t>
  </si>
  <si>
    <t>Company Description</t>
  </si>
  <si>
    <t>CATALYSTS (RECENT DEVELOPMENTS)</t>
  </si>
  <si>
    <t>EBITDA Margin (%)</t>
  </si>
  <si>
    <t>Net Debt - M $$</t>
  </si>
  <si>
    <t>1)                                                                                                                  2)                                                                                                                  3)</t>
  </si>
  <si>
    <t>Avg EBITDA Margin (%)</t>
  </si>
  <si>
    <t>Net Debt/FCF - %</t>
  </si>
  <si>
    <t>Outlook</t>
  </si>
  <si>
    <t>Valuation Models</t>
  </si>
  <si>
    <t>Price Target</t>
  </si>
  <si>
    <t>Revenue Growth (LTM)</t>
  </si>
  <si>
    <t>P/E (Current - LTM)</t>
  </si>
  <si>
    <t>Revenue Growth (Fwd 12month)</t>
  </si>
  <si>
    <t>P/E (Fwd 12 Months)</t>
  </si>
  <si>
    <t>Revenue Segments</t>
  </si>
  <si>
    <t>WHAT'S UNIQUE (MOAT)</t>
  </si>
  <si>
    <t>Revenue Growth (Fwd 24month)</t>
  </si>
  <si>
    <t>P/E (Fwd 24 Months)</t>
  </si>
  <si>
    <t xml:space="preserve">1)                                                                                                                  2) </t>
  </si>
  <si>
    <t>EPS Growth (LTM)</t>
  </si>
  <si>
    <t>MC/Rev (Current - LTM)</t>
  </si>
  <si>
    <t>Mult = (pr*sh)/rev</t>
  </si>
  <si>
    <t>EPS Growth (Fwd 12Month)</t>
  </si>
  <si>
    <t>MC/Rev (Fwd 12Month)</t>
  </si>
  <si>
    <t>(Mult*Rev)/Sh</t>
  </si>
  <si>
    <t>EPS Growth (Fwd 24Month)</t>
  </si>
  <si>
    <t>MC/Rev (Fwd 24Month)</t>
  </si>
  <si>
    <t>Mult = (EV / EBITDA)</t>
  </si>
  <si>
    <t>How Does the Company Make Money (Unit Economics)??</t>
  </si>
  <si>
    <t>Main Strengths</t>
  </si>
  <si>
    <t>Capital Allocation</t>
  </si>
  <si>
    <t>EV / EBITDA (LTM)</t>
  </si>
  <si>
    <t>Mult = (MC + Debt - Cash) / EBITDA</t>
  </si>
  <si>
    <t xml:space="preserve">1) </t>
  </si>
  <si>
    <t>ROE</t>
  </si>
  <si>
    <t>EV/EBITDA (Fwd 12Months)</t>
  </si>
  <si>
    <t>Mult = ((Pr * SH)+ Debt - Cash) / EBITDA</t>
  </si>
  <si>
    <t xml:space="preserve">2) </t>
  </si>
  <si>
    <t>Avg ROE (3 Yrs)</t>
  </si>
  <si>
    <t>EV/EBITDA (Fwd 24Months)</t>
  </si>
  <si>
    <t>((Mult*EBITDA)+Cash-Debt)/Sh</t>
  </si>
  <si>
    <t xml:space="preserve">3) </t>
  </si>
  <si>
    <t>Asset Turnover</t>
  </si>
  <si>
    <t>EV / FCF (LTM)</t>
  </si>
  <si>
    <t>Mult = EV / FCF</t>
  </si>
  <si>
    <t>Main Risks</t>
  </si>
  <si>
    <t>Avg AT (3 yrs)</t>
  </si>
  <si>
    <t>EV/FCF (Fwd 12Months)</t>
  </si>
  <si>
    <t>Mult = ((Pr*sh)+Debt-Cash)/ FCF</t>
  </si>
  <si>
    <t>Main Peers / Comps</t>
  </si>
  <si>
    <t>Fincl Lev</t>
  </si>
  <si>
    <t>EV/FCF (Fwd 24Months)</t>
  </si>
  <si>
    <t>Pr = ((Mult * FCF)+Cash-Debt) / Sh</t>
  </si>
  <si>
    <t>1)</t>
  </si>
  <si>
    <t>3)</t>
  </si>
  <si>
    <t>Avg Fincl Lev (3 Yrs)</t>
  </si>
  <si>
    <t>2)</t>
  </si>
  <si>
    <t>4)</t>
  </si>
  <si>
    <t>FCF / NI (1 Yrs)</t>
  </si>
  <si>
    <t>Share Price (USD) - 5 yrs</t>
  </si>
  <si>
    <t>Avg FCF / NI (3 Yrs)</t>
  </si>
  <si>
    <t>Capital Intensity</t>
  </si>
  <si>
    <t>Normalized Multiples</t>
  </si>
  <si>
    <t>CAPEX/Revenues - %</t>
  </si>
  <si>
    <t>(P/E) / EGr (Fwd 1Yr) - x</t>
  </si>
  <si>
    <t>Avg CAPEX/Rev (3 yrs) - %</t>
  </si>
  <si>
    <t>(MC/Rev) / RevGr (Fwd 1Yr) - x</t>
  </si>
  <si>
    <t>CAPEX/Oper CF - %</t>
  </si>
  <si>
    <t>(EV/EBITDA) / EBITDA Gr (Fwd 1Yr) - x</t>
  </si>
  <si>
    <t>Avg CAPEX/Oper CF (3 yrs) - %</t>
  </si>
  <si>
    <t>(EV/FCF) / FCF Gr (Fwd 1Yr) - x</t>
  </si>
  <si>
    <t>Share Summary</t>
  </si>
  <si>
    <t>Dividend ($ pSh):</t>
  </si>
  <si>
    <t>Short Interest (M Sh)</t>
  </si>
  <si>
    <t>Divd Yield:</t>
  </si>
  <si>
    <t>Short Interest (Month t-1) - (M Sh)</t>
  </si>
  <si>
    <t>Avg Daily Volumes (M Sh)</t>
  </si>
  <si>
    <t>Short Interest as % of Float - %</t>
  </si>
  <si>
    <t>Shares O/S (Basic) - (M Sh)</t>
  </si>
  <si>
    <t>Days to Cover</t>
  </si>
  <si>
    <t>Shares O/S (Fully Diluted) - (M Sh)</t>
  </si>
  <si>
    <t>Number of Employees</t>
  </si>
  <si>
    <t>Float (M Sh)</t>
  </si>
  <si>
    <t>Rev per Employee - $$</t>
  </si>
  <si>
    <t>Institutional Ownership (%)</t>
  </si>
  <si>
    <t xml:space="preserve">1) top </t>
  </si>
  <si>
    <t xml:space="preserve">2) Share Summary </t>
  </si>
  <si>
    <t>3) Boxes (5 each)</t>
  </si>
  <si>
    <t>4) Pic</t>
  </si>
  <si>
    <t>TOTAL</t>
  </si>
  <si>
    <t>SUMMARY DATA (M$)</t>
  </si>
  <si>
    <t>Market Capitalization (M$)</t>
  </si>
  <si>
    <t>Enterprise Value (M$)</t>
  </si>
  <si>
    <t>FD Shares outstanding (M)</t>
  </si>
  <si>
    <t>VALUATION MULTIPLES</t>
  </si>
  <si>
    <t>Mkt Cap/Revenue</t>
  </si>
  <si>
    <t>P/E</t>
  </si>
  <si>
    <t>EV/EBITDA</t>
  </si>
  <si>
    <t>INCOME STATEMENT (Millions $$)</t>
  </si>
  <si>
    <t>Cost of Sales</t>
  </si>
  <si>
    <t>EBIT (aka Pre-Tax Income / Oper Inc)</t>
  </si>
  <si>
    <t>Net Income (t) - Current FY</t>
  </si>
  <si>
    <t>Income Taxes</t>
  </si>
  <si>
    <t>EBITDA</t>
  </si>
  <si>
    <t>MARGINS (%)</t>
  </si>
  <si>
    <t>Gross Margin</t>
  </si>
  <si>
    <t>EBIT Margin (aka Pre-Tax Margin)</t>
  </si>
  <si>
    <t>Net Income Margin (%)</t>
  </si>
  <si>
    <t>EBITDA Margin</t>
  </si>
  <si>
    <t>BALANCE SHEET (Millions $$)</t>
  </si>
  <si>
    <t>CASH &amp; MKTBLE SECURITIES</t>
  </si>
  <si>
    <t>Cash &amp; Mktble Sec per Share</t>
  </si>
  <si>
    <t>Total Assets</t>
  </si>
  <si>
    <t>Current Assets</t>
  </si>
  <si>
    <t>Current Liabilities</t>
  </si>
  <si>
    <t>Net Working Capital</t>
  </si>
  <si>
    <t>Long Term Debt</t>
  </si>
  <si>
    <t>Equity</t>
  </si>
  <si>
    <t>CASH FLOW STATEMENT (Millions $$)</t>
  </si>
  <si>
    <t>NOPAT</t>
  </si>
  <si>
    <t>Depreciation + Amortization</t>
  </si>
  <si>
    <t>Change in NWC</t>
  </si>
  <si>
    <t>Capital Expenditures (PPE)</t>
  </si>
  <si>
    <t>Free Cash Flow to the Firm</t>
  </si>
  <si>
    <t>CFO</t>
  </si>
  <si>
    <t>Discounted Cash Flow Valuation</t>
  </si>
  <si>
    <t>$ and shares in thousands, except for per share data</t>
  </si>
  <si>
    <t>Company name</t>
  </si>
  <si>
    <t>Ticker symbol</t>
  </si>
  <si>
    <t>Most recent fiscal year end</t>
  </si>
  <si>
    <t>Discount rate (WACC)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</si>
  <si>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</si>
  <si>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</si>
  <si>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</si>
  <si>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</si>
  <si>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</si>
  <si>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Midyear adjustment?</t>
  </si>
  <si>
    <t>Portion of year 1 cash flows in forecast</t>
  </si>
  <si>
    <t>Unlevered Free Cash Flows</t>
  </si>
  <si>
    <t>Actual</t>
  </si>
  <si>
    <t>Forecasts</t>
  </si>
  <si>
    <t>Fiscal year ended</t>
  </si>
  <si>
    <t>Revenue</t>
  </si>
  <si>
    <t>% growth</t>
  </si>
  <si>
    <t>% margin</t>
  </si>
  <si>
    <t>EBIT</t>
  </si>
  <si>
    <t>Tax on EBIT</t>
  </si>
  <si>
    <t>Tax rate</t>
  </si>
  <si>
    <t>NOPAT (aka EBIAT)</t>
  </si>
  <si>
    <t>Depreciation &amp; amortization</t>
  </si>
  <si>
    <t>Changes in net working capital</t>
  </si>
  <si>
    <t>Capital expenditures</t>
  </si>
  <si>
    <t>as % of revenue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</si>
  <si>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</si>
  <si>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</si>
  <si>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</si>
  <si>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</si>
  <si>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</si>
  <si>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</si>
  <si>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Date for discounting cash flows</t>
  </si>
  <si>
    <t>Unlevered free cash flows (UFCF) stub adjusted</t>
  </si>
  <si>
    <t>&lt;-Stub year counts first year cash flows starting at the valuation date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</si>
  <si>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</si>
  <si>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</si>
  <si>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</si>
  <si>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</si>
  <si>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</si>
  <si>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</si>
  <si>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</si>
  <si>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</si>
  <si>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</si>
  <si>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</si>
  <si>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</si>
  <si>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</si>
  <si>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Implied TV exit EBITDA multiple</t>
  </si>
  <si>
    <t>Implied terminal growth rate</t>
  </si>
  <si>
    <t>Net debt</t>
  </si>
  <si>
    <t>Shares outstanding</t>
  </si>
  <si>
    <t>Source doc</t>
  </si>
  <si>
    <t>Factset</t>
  </si>
  <si>
    <t>Source date</t>
  </si>
  <si>
    <t>Date</t>
  </si>
  <si>
    <t>Shares</t>
  </si>
  <si>
    <t>Gross debt and equivalents</t>
  </si>
  <si>
    <t>Basic shares</t>
  </si>
  <si>
    <t>Q1 2020 10Q</t>
  </si>
  <si>
    <t>Debt</t>
  </si>
  <si>
    <t>Restricted stock / RSUs</t>
  </si>
  <si>
    <t>Convertible debt</t>
  </si>
  <si>
    <t>Options / warrants</t>
  </si>
  <si>
    <t>&lt;-These are options issued by the company, like to executives</t>
  </si>
  <si>
    <t>Preferred stock</t>
  </si>
  <si>
    <t>&lt;-Look on FINRA for this if you can't find it in the 10-K</t>
  </si>
  <si>
    <t>Noncontrolling (minority) interests</t>
  </si>
  <si>
    <t>Convertible preferred stock</t>
  </si>
  <si>
    <t>&lt;-Very few companies have this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</si>
  <si>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</si>
  <si>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</si>
  <si>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</si>
  <si>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</si>
  <si>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</si>
  <si>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</si>
  <si>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</si>
  <si>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</si>
  <si>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</si>
  <si>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Year 1 Multiples</t>
  </si>
  <si>
    <t>EV / Revenue</t>
  </si>
  <si>
    <t xml:space="preserve">EV / EBITDA </t>
  </si>
  <si>
    <t>EV / EBIT</t>
  </si>
  <si>
    <t>Outputs</t>
  </si>
  <si>
    <t>Year 1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</si>
  <si>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</si>
  <si>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</si>
  <si>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</si>
  <si>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</si>
  <si>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</si>
  <si>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</si>
  <si>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</si>
  <si>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</si>
  <si>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</si>
  <si>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</si>
  <si>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</si>
  <si>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weight</t>
  </si>
  <si>
    <t>Market Value of Equity</t>
  </si>
  <si>
    <t>Book Value of Debt</t>
  </si>
  <si>
    <t>Total Market Value (EV)</t>
  </si>
  <si>
    <t>Cost of Equity:</t>
  </si>
  <si>
    <t>Rm - Rf (Market Risk Premium)</t>
  </si>
  <si>
    <t>Rf</t>
  </si>
  <si>
    <t>Beta</t>
  </si>
  <si>
    <t>Cost of Equity</t>
  </si>
  <si>
    <t>Cost of Debt</t>
  </si>
  <si>
    <t>WACC</t>
  </si>
  <si>
    <t>The score is calculated based on 9 criteria divided into 3 groups.[1]</t>
  </si>
  <si>
    <t>PE (Curr) =</t>
  </si>
  <si>
    <t>F (26) EPS =</t>
  </si>
  <si>
    <t>1. Return on Assets (1 point if it is positive in the current year, 0 otherwise);</t>
  </si>
  <si>
    <t>F( Price Stock)</t>
  </si>
  <si>
    <t>2. Operating Cash Flow (1 point if it is positive in the current year, 0 otherwise);</t>
  </si>
  <si>
    <t>Gain</t>
  </si>
  <si>
    <t>4. Accruals (1 point if Operating Cash Flow/Total Assets is higher than ROA in the current year, 0 otherwise);</t>
  </si>
  <si>
    <t>Leverage, Liquidity and Source of Funds</t>
  </si>
  <si>
    <t>MC/Rev (Curr)</t>
  </si>
  <si>
    <t>5. Change in Leverage (long-term) ratio (1 point if the ratio is lower this year compared to the previous one, 0 otherwise);</t>
  </si>
  <si>
    <t>MC (Current)</t>
  </si>
  <si>
    <t>6. Change in Current ratio (1 point if it is higher in the current year compared to the previous one, 0 otherwise);</t>
  </si>
  <si>
    <t>E (MC Curr Mult)</t>
  </si>
  <si>
    <t>7. Change in the number of shares (1 point if no new shares were issued during the last year);</t>
  </si>
  <si>
    <t>Operating Efficiency</t>
  </si>
  <si>
    <t>Price</t>
  </si>
  <si>
    <t>8. Change in Gross Margin (1 point if it is higher in the current year compared to the previous one, 0 otherwise);</t>
  </si>
  <si>
    <t>9. Change in Asset Turnover ratio (1 point if it is higher in the current year compared to the previous one, 0 otherwise);</t>
  </si>
  <si>
    <t>The score is calculated based on the data from financial statement of a company. A company gets 1 point for each met criteria. Summing up of all achieved points gives Piotroski F-score (number between 0 and 9).</t>
  </si>
  <si>
    <t>https://www.chicagobooth.edu/~/media/FE874EE65F624AAEBD0166B1974FD74D.pdf</t>
  </si>
  <si>
    <t>Improvements to Piotrowski F-Score</t>
  </si>
  <si>
    <t>https://alphaarchitect.com/2015/05/05/value-investing-research-simple-methods-to-improve-the-piotroski-f-score/</t>
  </si>
  <si>
    <t>https://www.aaii.com/journal/article/simple-methods-to-improve-the-piotroski-f-score?</t>
  </si>
  <si>
    <t>https://www.goldmansachs.com/insights/articles/the-s-and-p-500-is-forecast-to-return-10-percent-in-2025</t>
  </si>
  <si>
    <t>https://www.goldmansachs.com/insights/articles/s-and-p-500-projected-to-rally-more-than-expected</t>
  </si>
  <si>
    <t>GLOSSARY AND INTERPRETATION OF FIGURES</t>
  </si>
  <si>
    <t>Adjusted book value</t>
  </si>
  <si>
    <t>An estimate of the book value of the company, using the sum of capital expenditures for the</t>
  </si>
  <si>
    <t>last 5 years as an estimate for the book value of fixed assets, to determine how new</t>
  </si>
  <si>
    <t>such fixed assets are, and how strong the book value.</t>
  </si>
  <si>
    <t>SHORT INTEREST</t>
  </si>
  <si>
    <t>https://www.nasdaq.com/market-activity/stocks/msft/short-interest</t>
  </si>
  <si>
    <t>NYSE : Short Interest</t>
  </si>
  <si>
    <t>https://www.nyse.com/quote/XNGS:MSFT</t>
  </si>
  <si>
    <t>Institutional Ownership</t>
  </si>
  <si>
    <t>https://www.nasdaq.com/market-activity/stocks/exas/institutional-holdings</t>
  </si>
  <si>
    <t>Definitions</t>
  </si>
  <si>
    <t>Adjusted sales/share</t>
  </si>
  <si>
    <t>Sales per share, where the number of shares is adjusted for shares which could be repurchased</t>
  </si>
  <si>
    <t>with excess current assets, once all outstanding liabilities have been extinguished.</t>
  </si>
  <si>
    <t>Accounts for the leverage of the company (how many shares would need to be issued to retire</t>
  </si>
  <si>
    <t>the debt) or, conversely, for the benefits from high levels of net assets.</t>
  </si>
  <si>
    <t>Especially valuable for inter-company comparisons, or comparison to industry average.</t>
  </si>
  <si>
    <t>Asset value</t>
  </si>
  <si>
    <t>An estimate of the fair value of tangible assets, net of all outstanding liabilities.</t>
  </si>
  <si>
    <t>Fixed assets include accumulated depreciation, to estimate their replacement value.</t>
  </si>
  <si>
    <t>When real estate represents a significant portion of assets, an adjustment may be made</t>
  </si>
  <si>
    <t>to reflect its fair market value rather than book value.</t>
  </si>
  <si>
    <t>An estimate is also made for goodwill, as a % of revenues.</t>
  </si>
  <si>
    <t>Cap.Ex.</t>
  </si>
  <si>
    <t>Capital expenditures relating to fixed asset purchases.</t>
  </si>
  <si>
    <t>Cash flow from operations (including changes in non-cash working capital accounts).</t>
  </si>
  <si>
    <t>Earnings before interest and taxes.</t>
  </si>
  <si>
    <t>EBIT Multiple</t>
  </si>
  <si>
    <t>An estimate of the earnings generation powers of the company's productive assets, plus</t>
  </si>
  <si>
    <t>working capital, and netted of long term debt outstanding.</t>
  </si>
  <si>
    <t>The lower the EBIT multiple, the greater the probability that the stock is undervalued at current</t>
  </si>
  <si>
    <t>market levels.  On average, a multiple greater than 5.0 indicates possible overvaluation.</t>
  </si>
  <si>
    <t>This multiple is also useful for inter-company comparisons, as it accounts for the effect of</t>
  </si>
  <si>
    <t>varying levels of leverage and differing income tax rates.</t>
  </si>
  <si>
    <t>F score</t>
  </si>
  <si>
    <t>A rapid evaluation of financial strength, reflecting the liquidity of the company and its</t>
  </si>
  <si>
    <t>leverage position, also relating the two.</t>
  </si>
  <si>
    <t>The higher, the better.</t>
  </si>
  <si>
    <t>NBP</t>
  </si>
  <si>
    <t>An estimate of the remaining borrowing power of the Company, based on the level of its</t>
  </si>
  <si>
    <t>Net borrowing power</t>
  </si>
  <si>
    <t>short term and gross fixed assets, over and above debt already outstanding.</t>
  </si>
  <si>
    <t>Free Cash Flow to Equity</t>
  </si>
  <si>
    <t>EBIT(1-t)+D&amp;A-Capex-change in NWC</t>
  </si>
  <si>
    <t>FCFF - Interest(1-t) + Net Borrowings</t>
  </si>
  <si>
    <t>Interest Expense</t>
  </si>
  <si>
    <t>Free cash flow to the firm</t>
  </si>
  <si>
    <t>Free cash flow to equity</t>
  </si>
  <si>
    <t>Total equity value (TEV)</t>
  </si>
  <si>
    <t>Terminal value - PE multiple approach</t>
  </si>
  <si>
    <t>PE</t>
  </si>
  <si>
    <t>Equity Value</t>
  </si>
  <si>
    <t>Terminal year Earnings</t>
  </si>
  <si>
    <t>Free cash flow to the firm (FCFF)</t>
  </si>
  <si>
    <t>FRED DGS10, 10-year Treasury, 2026-09-11</t>
  </si>
  <si>
    <t>FRED BAMLC0A3CAEY, ICE BofA single-A corporate effective yield, 2026-09-11 (Hershey is rated A)</t>
  </si>
  <si>
    <t>Cash from Operating Activities</t>
  </si>
  <si>
    <t>EV/FCFF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</si>
</sst>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\$#,##0.00_);&quot;($&quot;#,##0.00\)"/>
    <numFmt numFmtId="166" formatCode="\$#,##0_);[Red]&quot;($&quot;#,##0\)"/>
    <numFmt numFmtId="167" formatCode="0.0%"/>
    <numFmt numFmtId="168" formatCode="\$#,##0"/>
    <numFmt numFmtId="169" formatCode="0.0\x"/>
    <numFmt numFmtId="170" formatCode="\$#,##0.00"/>
    <numFmt numFmtId="171" formatCode="#,##0.0_);[Red]\(#,##0.0\)"/>
    <numFmt numFmtId="172" formatCode="0.0"/>
    <numFmt numFmtId="173" formatCode="\$#,##0.00_);[Red]&quot;($&quot;#,##0.00\)"/>
    <numFmt numFmtId="174" formatCode="0.00_)"/>
    <numFmt numFmtId="175" formatCode="0.0%_);\(0.0%\);@_)"/>
    <numFmt numFmtId="176" formatCode="#,##0_);\(#,##0\);@_)"/>
    <numFmt numFmtId="177" formatCode="_(#,##0.0%_);\(#,##0.0%\);_(&quot;–&quot;_)_%;_(@_)_%"/>
    <numFmt numFmtId="178" formatCode="m/d/yy;@"/>
    <numFmt numFmtId="179" formatCode="0000\A"/>
    <numFmt numFmtId="180" formatCode="0000\P"/>
    <numFmt numFmtId="181" formatCode="0.0\x_);\(0.0\x\);@_)"/>
    <numFmt numFmtId="182" formatCode="0.000%_);\(0.000%\);@_)"/>
    <numFmt numFmtId="183" formatCode="#,##0.000_);\(#,##0.000\);@_)"/>
    <numFmt numFmtId="184" formatCode="#,##0.000_);\(#,##0.000\)"/>
    <numFmt numFmtId="185" formatCode="#,##0.000"/>
    <numFmt numFmtId="186" formatCode="_([$$]#,##0_)_%;\([$$]#,##0\)_%;_(&quot;–&quot;_)_%;_(@_)_%"/>
    <numFmt numFmtId="187" formatCode="&quot;$&quot;#,##0.00_);\(&quot;$&quot;#,##0.00\);@_)"/>
    <numFmt numFmtId="188" formatCode="_(0.0_)_'_x;_(\(0.0\)_';_(&quot;–&quot;_)_%;_(@_)_%"/>
    <numFmt numFmtId="189" formatCode="_(0.0\x_)_';_(\(0.0\x\)_';_(&quot;–&quot;_)_%;_(@_)_%"/>
    <numFmt numFmtId="190" formatCode="#,##0.00_);\(#,##0.00\);\-_);@_)"/>
    <numFmt numFmtId="191" formatCode="#,##0.0_);\(#,##0.0\);\-_);@_)"/>
    <numFmt numFmtId="192" formatCode="_(#,##0.00%_);\(#,##0.00%\);_(&quot;–&quot;_)_%;_(@_)_%"/>
    <numFmt numFmtId="193" formatCode="0.000"/>
  </numFmts>
  <fonts count="48" x14ac:knownFonts="1">
    <font>
      <sz val="10"/>
      <name val="Courier New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charset val="1"/>
    </font>
    <font>
      <b/>
      <sz val="11"/>
      <name val="Calibri"/>
      <family val="2"/>
      <charset val="1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b/>
      <sz val="9"/>
      <name val="Calibri"/>
      <family val="2"/>
      <charset val="1"/>
    </font>
    <font>
      <u/>
      <sz val="10"/>
      <color theme="10"/>
      <name val="Courier New"/>
      <family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Times New Roman"/>
      <family val="1"/>
      <charset val="1"/>
    </font>
    <font>
      <b/>
      <sz val="9"/>
      <name val="Times New Roman"/>
      <family val="1"/>
      <charset val="1"/>
    </font>
    <font>
      <b/>
      <sz val="12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b/>
      <sz val="14"/>
      <name val="Times New Roman"/>
      <family val="1"/>
      <charset val="1"/>
    </font>
    <font>
      <sz val="10"/>
      <name val="Arial"/>
      <family val="2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sz val="10"/>
      <name val="Calibri"/>
      <family val="2"/>
    </font>
    <font>
      <b/>
      <sz val="10"/>
      <name val="Times New Roman"/>
      <family val="1"/>
      <charset val="1"/>
    </font>
    <font>
      <i/>
      <sz val="8"/>
      <name val="Times New Roman"/>
      <family val="1"/>
      <charset val="1"/>
    </font>
    <font>
      <u/>
      <sz val="8"/>
      <color theme="10"/>
      <name val="Calibri"/>
      <family val="2"/>
      <charset val="1"/>
    </font>
    <font>
      <b/>
      <i/>
      <sz val="8"/>
      <color rgb="FF202122"/>
      <name val="Calibri"/>
      <family val="2"/>
      <charset val="1"/>
    </font>
    <font>
      <sz val="8"/>
      <color rgb="FF202122"/>
      <name val="Calibri"/>
      <family val="2"/>
      <charset val="1"/>
    </font>
    <font>
      <b/>
      <sz val="11"/>
      <color rgb="FF202122"/>
      <name val="Arial"/>
      <family val="2"/>
      <charset val="1"/>
    </font>
    <font>
      <sz val="14"/>
      <name val="Arial"/>
      <family val="2"/>
      <charset val="1"/>
    </font>
    <font>
      <sz val="10"/>
      <name val="Courier New"/>
      <family val="1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2CC"/>
      </patternFill>
    </fill>
    <fill>
      <patternFill patternType="solid">
        <fgColor theme="4" tint="0.59987182226020086"/>
        <bgColor rgb="FFBDD7EE"/>
      </patternFill>
    </fill>
    <fill>
      <patternFill patternType="solid">
        <fgColor theme="8" tint="0.59987182226020086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9" tint="0.39988402966399123"/>
        <bgColor rgb="FFC5E0B4"/>
      </patternFill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/>
      <right/>
      <top style="medium">
        <color indexed="64"/>
      </top>
      <bottom style="hair">
        <color rgb="FF000000"/>
      </bottom>
      <diagonal/>
    </border>
  </borders>
  <cellStyleXfs count="8">
    <xf numFmtId="164" fontId="0" fillId="0" borderId="0"/>
    <xf numFmtId="43" fontId="30" fillId="0" borderId="0" applyFont="0" applyFill="0" applyBorder="0" applyAlignment="0" applyProtection="0"/>
    <xf numFmtId="0" fontId="4" fillId="0" borderId="0"/>
    <xf numFmtId="0" fontId="36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97">
    <xf numFmtId="164" fontId="0" fillId="0" borderId="0" xfId="0"/>
    <xf numFmtId="0" fontId="0" fillId="0" borderId="0" xfId="0" applyNumberFormat="1"/>
    <xf numFmtId="164" fontId="6" fillId="0" borderId="3" xfId="0" applyFont="1" applyBorder="1" applyAlignment="1">
      <alignment horizontal="left" vertical="center"/>
    </xf>
    <xf numFmtId="164" fontId="5" fillId="0" borderId="4" xfId="0" applyFont="1" applyBorder="1" applyAlignment="1">
      <alignment horizontal="center" vertical="center"/>
    </xf>
    <xf numFmtId="164" fontId="7" fillId="2" borderId="5" xfId="0" applyFont="1" applyFill="1" applyBorder="1" applyAlignment="1">
      <alignment horizontal="center" vertical="center"/>
    </xf>
    <xf numFmtId="164" fontId="5" fillId="0" borderId="6" xfId="0" applyFont="1" applyBorder="1" applyAlignment="1">
      <alignment horizontal="center" vertical="center"/>
    </xf>
    <xf numFmtId="164" fontId="6" fillId="0" borderId="7" xfId="0" applyFont="1" applyBorder="1" applyAlignment="1">
      <alignment horizontal="left" vertical="center"/>
    </xf>
    <xf numFmtId="164" fontId="6" fillId="3" borderId="7" xfId="0" applyFont="1" applyFill="1" applyBorder="1" applyAlignment="1">
      <alignment horizontal="left"/>
    </xf>
    <xf numFmtId="165" fontId="9" fillId="0" borderId="6" xfId="0" applyNumberFormat="1" applyFont="1" applyBorder="1" applyAlignment="1">
      <alignment horizontal="center"/>
    </xf>
    <xf numFmtId="165" fontId="9" fillId="2" borderId="8" xfId="0" applyNumberFormat="1" applyFont="1" applyFill="1" applyBorder="1" applyAlignment="1">
      <alignment horizontal="center"/>
    </xf>
    <xf numFmtId="164" fontId="5" fillId="0" borderId="6" xfId="0" applyFont="1" applyBorder="1" applyAlignment="1">
      <alignment vertical="center"/>
    </xf>
    <xf numFmtId="164" fontId="11" fillId="0" borderId="9" xfId="0" applyFont="1" applyBorder="1" applyAlignment="1">
      <alignment vertical="center"/>
    </xf>
    <xf numFmtId="164" fontId="12" fillId="2" borderId="10" xfId="0" applyFont="1" applyFill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4" fontId="6" fillId="3" borderId="11" xfId="0" applyFont="1" applyFill="1" applyBorder="1" applyAlignment="1">
      <alignment horizontal="left"/>
    </xf>
    <xf numFmtId="165" fontId="9" fillId="0" borderId="12" xfId="0" applyNumberFormat="1" applyFont="1" applyBorder="1" applyAlignment="1">
      <alignment horizontal="center"/>
    </xf>
    <xf numFmtId="14" fontId="9" fillId="2" borderId="13" xfId="0" applyNumberFormat="1" applyFont="1" applyFill="1" applyBorder="1" applyAlignment="1">
      <alignment horizontal="center"/>
    </xf>
    <xf numFmtId="164" fontId="5" fillId="0" borderId="0" xfId="0" applyFont="1" applyAlignment="1">
      <alignment vertical="center"/>
    </xf>
    <xf numFmtId="164" fontId="6" fillId="0" borderId="11" xfId="0" applyFont="1" applyBorder="1" applyAlignment="1">
      <alignment horizontal="left" vertical="center"/>
    </xf>
    <xf numFmtId="164" fontId="11" fillId="0" borderId="11" xfId="0" applyFont="1" applyBorder="1" applyAlignment="1">
      <alignment vertical="center"/>
    </xf>
    <xf numFmtId="164" fontId="12" fillId="2" borderId="13" xfId="0" applyFont="1" applyFill="1" applyBorder="1" applyAlignment="1">
      <alignment horizontal="center" vertical="center"/>
    </xf>
    <xf numFmtId="164" fontId="11" fillId="0" borderId="7" xfId="0" applyFont="1" applyBorder="1" applyAlignment="1">
      <alignment vertical="center"/>
    </xf>
    <xf numFmtId="164" fontId="0" fillId="0" borderId="6" xfId="0" applyBorder="1"/>
    <xf numFmtId="166" fontId="12" fillId="0" borderId="8" xfId="0" applyNumberFormat="1" applyFont="1" applyBorder="1" applyAlignment="1">
      <alignment horizontal="center" vertical="center"/>
    </xf>
    <xf numFmtId="164" fontId="13" fillId="0" borderId="7" xfId="0" applyFont="1" applyBorder="1"/>
    <xf numFmtId="164" fontId="13" fillId="0" borderId="6" xfId="0" applyFont="1" applyBorder="1"/>
    <xf numFmtId="38" fontId="14" fillId="4" borderId="2" xfId="0" applyNumberFormat="1" applyFont="1" applyFill="1" applyBorder="1" applyAlignment="1">
      <alignment horizontal="center"/>
    </xf>
    <xf numFmtId="164" fontId="14" fillId="4" borderId="3" xfId="0" applyFont="1" applyFill="1" applyBorder="1" applyAlignment="1">
      <alignment horizontal="center"/>
    </xf>
    <xf numFmtId="38" fontId="14" fillId="4" borderId="4" xfId="0" applyNumberFormat="1" applyFont="1" applyFill="1" applyBorder="1" applyAlignment="1">
      <alignment horizontal="center"/>
    </xf>
    <xf numFmtId="164" fontId="14" fillId="4" borderId="5" xfId="0" applyFont="1" applyFill="1" applyBorder="1" applyAlignment="1">
      <alignment horizontal="center"/>
    </xf>
    <xf numFmtId="164" fontId="14" fillId="0" borderId="9" xfId="0" applyFont="1" applyBorder="1" applyAlignment="1">
      <alignment horizontal="center"/>
    </xf>
    <xf numFmtId="164" fontId="14" fillId="0" borderId="0" xfId="0" applyFont="1" applyAlignment="1">
      <alignment horizontal="center"/>
    </xf>
    <xf numFmtId="40" fontId="16" fillId="5" borderId="10" xfId="0" applyNumberFormat="1" applyFont="1" applyFill="1" applyBorder="1" applyAlignment="1">
      <alignment horizontal="center"/>
    </xf>
    <xf numFmtId="167" fontId="17" fillId="0" borderId="7" xfId="0" applyNumberFormat="1" applyFont="1" applyBorder="1" applyAlignment="1">
      <alignment horizontal="center"/>
    </xf>
    <xf numFmtId="164" fontId="0" fillId="0" borderId="8" xfId="0" applyBorder="1"/>
    <xf numFmtId="164" fontId="13" fillId="0" borderId="9" xfId="0" applyFont="1" applyBorder="1" applyAlignment="1">
      <alignment vertical="center" wrapText="1"/>
    </xf>
    <xf numFmtId="9" fontId="13" fillId="0" borderId="10" xfId="0" applyNumberFormat="1" applyFont="1" applyBorder="1" applyAlignment="1">
      <alignment horizontal="center" vertical="top" wrapText="1"/>
    </xf>
    <xf numFmtId="164" fontId="13" fillId="0" borderId="0" xfId="0" applyFont="1" applyAlignment="1">
      <alignment vertical="top" wrapText="1"/>
    </xf>
    <xf numFmtId="168" fontId="13" fillId="0" borderId="10" xfId="0" applyNumberFormat="1" applyFont="1" applyBorder="1" applyAlignment="1">
      <alignment horizontal="center" vertical="top" wrapText="1"/>
    </xf>
    <xf numFmtId="40" fontId="16" fillId="2" borderId="10" xfId="0" applyNumberFormat="1" applyFont="1" applyFill="1" applyBorder="1" applyAlignment="1">
      <alignment horizontal="center"/>
    </xf>
    <xf numFmtId="167" fontId="17" fillId="0" borderId="9" xfId="0" applyNumberFormat="1" applyFont="1" applyBorder="1" applyAlignment="1">
      <alignment horizontal="center"/>
    </xf>
    <xf numFmtId="40" fontId="16" fillId="0" borderId="0" xfId="0" applyNumberFormat="1" applyFont="1" applyAlignment="1">
      <alignment horizontal="center"/>
    </xf>
    <xf numFmtId="169" fontId="16" fillId="6" borderId="10" xfId="0" applyNumberFormat="1" applyFont="1" applyFill="1" applyBorder="1" applyAlignment="1">
      <alignment horizontal="center"/>
    </xf>
    <xf numFmtId="170" fontId="13" fillId="0" borderId="10" xfId="0" applyNumberFormat="1" applyFont="1" applyBorder="1" applyAlignment="1">
      <alignment horizontal="center" vertical="top" wrapText="1"/>
    </xf>
    <xf numFmtId="169" fontId="16" fillId="0" borderId="10" xfId="0" applyNumberFormat="1" applyFont="1" applyBorder="1" applyAlignment="1">
      <alignment horizontal="center"/>
    </xf>
    <xf numFmtId="164" fontId="14" fillId="0" borderId="11" xfId="0" applyFont="1" applyBorder="1" applyAlignment="1">
      <alignment horizontal="center"/>
    </xf>
    <xf numFmtId="164" fontId="16" fillId="0" borderId="12" xfId="0" applyFont="1" applyBorder="1" applyAlignment="1">
      <alignment horizontal="center"/>
    </xf>
    <xf numFmtId="40" fontId="16" fillId="5" borderId="13" xfId="0" applyNumberFormat="1" applyFont="1" applyFill="1" applyBorder="1" applyAlignment="1">
      <alignment horizontal="center"/>
    </xf>
    <xf numFmtId="167" fontId="17" fillId="0" borderId="11" xfId="0" applyNumberFormat="1" applyFont="1" applyBorder="1" applyAlignment="1">
      <alignment horizontal="center"/>
    </xf>
    <xf numFmtId="40" fontId="16" fillId="0" borderId="12" xfId="0" applyNumberFormat="1" applyFont="1" applyBorder="1" applyAlignment="1">
      <alignment horizontal="center"/>
    </xf>
    <xf numFmtId="169" fontId="16" fillId="0" borderId="13" xfId="0" applyNumberFormat="1" applyFont="1" applyBorder="1" applyAlignment="1">
      <alignment horizontal="center"/>
    </xf>
    <xf numFmtId="164" fontId="13" fillId="0" borderId="11" xfId="0" applyFont="1" applyBorder="1" applyAlignment="1">
      <alignment vertical="center" wrapText="1"/>
    </xf>
    <xf numFmtId="9" fontId="13" fillId="0" borderId="13" xfId="0" applyNumberFormat="1" applyFont="1" applyBorder="1" applyAlignment="1">
      <alignment horizontal="center" vertical="top" wrapText="1"/>
    </xf>
    <xf numFmtId="164" fontId="13" fillId="0" borderId="12" xfId="0" applyFont="1" applyBorder="1" applyAlignment="1">
      <alignment vertical="top" wrapText="1"/>
    </xf>
    <xf numFmtId="167" fontId="13" fillId="0" borderId="13" xfId="0" applyNumberFormat="1" applyFont="1" applyBorder="1" applyAlignment="1">
      <alignment horizontal="center" vertical="top" wrapText="1"/>
    </xf>
    <xf numFmtId="164" fontId="15" fillId="5" borderId="3" xfId="0" applyFont="1" applyFill="1" applyBorder="1" applyAlignment="1">
      <alignment horizontal="center" vertical="center"/>
    </xf>
    <xf numFmtId="164" fontId="15" fillId="5" borderId="4" xfId="0" applyFont="1" applyFill="1" applyBorder="1" applyAlignment="1">
      <alignment horizontal="center" vertical="center"/>
    </xf>
    <xf numFmtId="164" fontId="15" fillId="5" borderId="5" xfId="0" applyFont="1" applyFill="1" applyBorder="1" applyAlignment="1">
      <alignment horizontal="center" vertical="center"/>
    </xf>
    <xf numFmtId="164" fontId="13" fillId="0" borderId="9" xfId="0" applyFont="1" applyBorder="1" applyAlignment="1">
      <alignment vertical="center"/>
    </xf>
    <xf numFmtId="167" fontId="13" fillId="0" borderId="10" xfId="0" applyNumberFormat="1" applyFont="1" applyBorder="1" applyAlignment="1">
      <alignment horizontal="center" vertical="top" wrapText="1"/>
    </xf>
    <xf numFmtId="164" fontId="13" fillId="0" borderId="7" xfId="0" applyFont="1" applyBorder="1" applyAlignment="1">
      <alignment vertical="center"/>
    </xf>
    <xf numFmtId="169" fontId="13" fillId="7" borderId="8" xfId="0" applyNumberFormat="1" applyFont="1" applyFill="1" applyBorder="1" applyAlignment="1">
      <alignment horizontal="center" vertical="center" wrapText="1"/>
    </xf>
    <xf numFmtId="168" fontId="13" fillId="7" borderId="1" xfId="0" applyNumberFormat="1" applyFont="1" applyFill="1" applyBorder="1" applyAlignment="1">
      <alignment horizontal="center" vertical="center"/>
    </xf>
    <xf numFmtId="169" fontId="13" fillId="0" borderId="10" xfId="0" applyNumberFormat="1" applyFont="1" applyBorder="1" applyAlignment="1">
      <alignment horizontal="center" vertical="center" wrapText="1"/>
    </xf>
    <xf numFmtId="168" fontId="13" fillId="7" borderId="14" xfId="0" applyNumberFormat="1" applyFont="1" applyFill="1" applyBorder="1" applyAlignment="1">
      <alignment horizontal="center" vertical="center"/>
    </xf>
    <xf numFmtId="164" fontId="13" fillId="0" borderId="11" xfId="0" applyFont="1" applyBorder="1" applyAlignment="1">
      <alignment vertical="center"/>
    </xf>
    <xf numFmtId="169" fontId="13" fillId="0" borderId="13" xfId="0" applyNumberFormat="1" applyFont="1" applyBorder="1" applyAlignment="1">
      <alignment horizontal="center" vertical="center" wrapText="1"/>
    </xf>
    <xf numFmtId="168" fontId="13" fillId="7" borderId="15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 wrapText="1"/>
    </xf>
    <xf numFmtId="164" fontId="12" fillId="0" borderId="7" xfId="0" applyFont="1" applyBorder="1"/>
    <xf numFmtId="164" fontId="12" fillId="0" borderId="6" xfId="0" applyFont="1" applyBorder="1"/>
    <xf numFmtId="164" fontId="12" fillId="0" borderId="8" xfId="0" applyFont="1" applyBorder="1"/>
    <xf numFmtId="164" fontId="12" fillId="0" borderId="0" xfId="0" applyFont="1"/>
    <xf numFmtId="164" fontId="12" fillId="0" borderId="9" xfId="0" applyFont="1" applyBorder="1"/>
    <xf numFmtId="164" fontId="12" fillId="0" borderId="10" xfId="0" applyFont="1" applyBorder="1"/>
    <xf numFmtId="167" fontId="13" fillId="0" borderId="8" xfId="0" applyNumberFormat="1" applyFont="1" applyBorder="1" applyAlignment="1">
      <alignment horizontal="center" vertical="top" wrapText="1"/>
    </xf>
    <xf numFmtId="164" fontId="12" fillId="0" borderId="11" xfId="0" applyFont="1" applyBorder="1"/>
    <xf numFmtId="164" fontId="12" fillId="0" borderId="12" xfId="0" applyFont="1" applyBorder="1"/>
    <xf numFmtId="164" fontId="12" fillId="0" borderId="13" xfId="0" applyFont="1" applyBorder="1"/>
    <xf numFmtId="164" fontId="16" fillId="2" borderId="9" xfId="0" applyFont="1" applyFill="1" applyBorder="1" applyAlignment="1">
      <alignment vertical="top" wrapText="1"/>
    </xf>
    <xf numFmtId="164" fontId="0" fillId="2" borderId="9" xfId="0" applyFill="1" applyBorder="1"/>
    <xf numFmtId="164" fontId="0" fillId="2" borderId="0" xfId="0" applyFill="1"/>
    <xf numFmtId="164" fontId="5" fillId="2" borderId="0" xfId="0" applyFont="1" applyFill="1" applyAlignment="1">
      <alignment vertical="center"/>
    </xf>
    <xf numFmtId="164" fontId="0" fillId="2" borderId="10" xfId="0" applyFill="1" applyBorder="1"/>
    <xf numFmtId="164" fontId="13" fillId="0" borderId="6" xfId="0" applyFont="1" applyBorder="1" applyAlignment="1">
      <alignment vertical="top" wrapText="1"/>
    </xf>
    <xf numFmtId="169" fontId="13" fillId="0" borderId="8" xfId="0" applyNumberFormat="1" applyFont="1" applyBorder="1" applyAlignment="1">
      <alignment horizontal="center" vertical="top" wrapText="1"/>
    </xf>
    <xf numFmtId="164" fontId="0" fillId="0" borderId="0" xfId="0" applyAlignment="1">
      <alignment horizontal="center" vertical="center"/>
    </xf>
    <xf numFmtId="169" fontId="13" fillId="0" borderId="10" xfId="0" applyNumberFormat="1" applyFont="1" applyBorder="1" applyAlignment="1">
      <alignment horizontal="center" vertical="top" wrapText="1"/>
    </xf>
    <xf numFmtId="164" fontId="13" fillId="0" borderId="7" xfId="0" applyFont="1" applyBorder="1" applyAlignment="1">
      <alignment horizontal="left" vertical="center"/>
    </xf>
    <xf numFmtId="165" fontId="13" fillId="2" borderId="8" xfId="0" applyNumberFormat="1" applyFont="1" applyFill="1" applyBorder="1" applyAlignment="1">
      <alignment horizontal="center" vertical="center"/>
    </xf>
    <xf numFmtId="171" fontId="13" fillId="2" borderId="8" xfId="0" applyNumberFormat="1" applyFont="1" applyFill="1" applyBorder="1" applyAlignment="1">
      <alignment horizontal="center" vertical="center"/>
    </xf>
    <xf numFmtId="164" fontId="13" fillId="0" borderId="9" xfId="0" applyFont="1" applyBorder="1" applyAlignment="1">
      <alignment horizontal="left" vertical="center"/>
    </xf>
    <xf numFmtId="10" fontId="13" fillId="0" borderId="10" xfId="0" applyNumberFormat="1" applyFont="1" applyBorder="1" applyAlignment="1">
      <alignment horizontal="center" vertical="center"/>
    </xf>
    <xf numFmtId="164" fontId="13" fillId="0" borderId="0" xfId="0" applyFont="1"/>
    <xf numFmtId="171" fontId="13" fillId="2" borderId="10" xfId="0" applyNumberFormat="1" applyFont="1" applyFill="1" applyBorder="1" applyAlignment="1">
      <alignment horizontal="center" vertical="center"/>
    </xf>
    <xf numFmtId="172" fontId="13" fillId="2" borderId="10" xfId="0" applyNumberFormat="1" applyFont="1" applyFill="1" applyBorder="1" applyAlignment="1">
      <alignment horizontal="center" vertical="center"/>
    </xf>
    <xf numFmtId="167" fontId="13" fillId="2" borderId="10" xfId="0" applyNumberFormat="1" applyFont="1" applyFill="1" applyBorder="1" applyAlignment="1">
      <alignment horizontal="center" vertical="center"/>
    </xf>
    <xf numFmtId="38" fontId="13" fillId="2" borderId="10" xfId="0" applyNumberFormat="1" applyFont="1" applyFill="1" applyBorder="1" applyAlignment="1">
      <alignment horizontal="center"/>
    </xf>
    <xf numFmtId="171" fontId="13" fillId="0" borderId="10" xfId="0" applyNumberFormat="1" applyFont="1" applyBorder="1" applyAlignment="1">
      <alignment horizontal="center" vertical="center"/>
    </xf>
    <xf numFmtId="164" fontId="13" fillId="0" borderId="9" xfId="0" applyFont="1" applyBorder="1"/>
    <xf numFmtId="166" fontId="13" fillId="0" borderId="10" xfId="0" applyNumberFormat="1" applyFont="1" applyBorder="1" applyAlignment="1">
      <alignment horizontal="center"/>
    </xf>
    <xf numFmtId="164" fontId="0" fillId="2" borderId="11" xfId="0" applyFill="1" applyBorder="1"/>
    <xf numFmtId="164" fontId="0" fillId="2" borderId="12" xfId="0" applyFill="1" applyBorder="1"/>
    <xf numFmtId="164" fontId="0" fillId="2" borderId="13" xfId="0" applyFill="1" applyBorder="1"/>
    <xf numFmtId="167" fontId="13" fillId="0" borderId="13" xfId="0" applyNumberFormat="1" applyFont="1" applyBorder="1" applyAlignment="1">
      <alignment horizontal="center" vertical="center" wrapText="1"/>
    </xf>
    <xf numFmtId="164" fontId="13" fillId="0" borderId="11" xfId="0" applyFont="1" applyBorder="1"/>
    <xf numFmtId="164" fontId="13" fillId="0" borderId="12" xfId="0" applyFont="1" applyBorder="1"/>
    <xf numFmtId="164" fontId="13" fillId="0" borderId="13" xfId="0" applyFont="1" applyBorder="1"/>
    <xf numFmtId="167" fontId="13" fillId="0" borderId="10" xfId="0" applyNumberFormat="1" applyFont="1" applyBorder="1" applyAlignment="1">
      <alignment horizontal="center"/>
    </xf>
    <xf numFmtId="164" fontId="21" fillId="0" borderId="6" xfId="0" applyFont="1" applyBorder="1" applyAlignment="1">
      <alignment horizontal="center"/>
    </xf>
    <xf numFmtId="164" fontId="9" fillId="5" borderId="12" xfId="0" applyFont="1" applyFill="1" applyBorder="1" applyAlignment="1">
      <alignment horizontal="center"/>
    </xf>
    <xf numFmtId="164" fontId="22" fillId="4" borderId="0" xfId="0" applyFont="1" applyFill="1" applyAlignment="1">
      <alignment horizontal="center"/>
    </xf>
    <xf numFmtId="164" fontId="0" fillId="4" borderId="12" xfId="0" applyFill="1" applyBorder="1" applyAlignment="1">
      <alignment horizontal="center"/>
    </xf>
    <xf numFmtId="164" fontId="14" fillId="0" borderId="7" xfId="0" applyFont="1" applyBorder="1"/>
    <xf numFmtId="164" fontId="14" fillId="0" borderId="6" xfId="0" applyFont="1" applyBorder="1"/>
    <xf numFmtId="168" fontId="20" fillId="8" borderId="6" xfId="0" applyNumberFormat="1" applyFont="1" applyFill="1" applyBorder="1" applyAlignment="1">
      <alignment horizontal="center"/>
    </xf>
    <xf numFmtId="168" fontId="21" fillId="8" borderId="6" xfId="0" applyNumberFormat="1" applyFont="1" applyFill="1" applyBorder="1" applyAlignment="1">
      <alignment horizontal="center"/>
    </xf>
    <xf numFmtId="168" fontId="21" fillId="8" borderId="8" xfId="0" applyNumberFormat="1" applyFont="1" applyFill="1" applyBorder="1" applyAlignment="1">
      <alignment horizontal="center"/>
    </xf>
    <xf numFmtId="164" fontId="21" fillId="0" borderId="9" xfId="0" applyFont="1" applyBorder="1"/>
    <xf numFmtId="164" fontId="21" fillId="0" borderId="0" xfId="0" applyFont="1"/>
    <xf numFmtId="168" fontId="20" fillId="8" borderId="0" xfId="0" applyNumberFormat="1" applyFont="1" applyFill="1" applyAlignment="1">
      <alignment horizontal="center"/>
    </xf>
    <xf numFmtId="168" fontId="20" fillId="8" borderId="10" xfId="0" applyNumberFormat="1" applyFont="1" applyFill="1" applyBorder="1" applyAlignment="1">
      <alignment horizontal="center"/>
    </xf>
    <xf numFmtId="164" fontId="21" fillId="0" borderId="9" xfId="0" applyFont="1" applyBorder="1" applyAlignment="1">
      <alignment horizontal="left"/>
    </xf>
    <xf numFmtId="164" fontId="21" fillId="0" borderId="0" xfId="0" applyFont="1" applyAlignment="1">
      <alignment horizontal="center"/>
    </xf>
    <xf numFmtId="166" fontId="21" fillId="2" borderId="0" xfId="0" applyNumberFormat="1" applyFont="1" applyFill="1" applyAlignment="1">
      <alignment horizontal="center"/>
    </xf>
    <xf numFmtId="166" fontId="21" fillId="8" borderId="0" xfId="0" applyNumberFormat="1" applyFont="1" applyFill="1" applyAlignment="1">
      <alignment horizontal="center"/>
    </xf>
    <xf numFmtId="166" fontId="21" fillId="2" borderId="10" xfId="0" applyNumberFormat="1" applyFont="1" applyFill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6" fontId="21" fillId="8" borderId="10" xfId="0" applyNumberFormat="1" applyFont="1" applyFill="1" applyBorder="1" applyAlignment="1">
      <alignment horizontal="center"/>
    </xf>
    <xf numFmtId="173" fontId="21" fillId="2" borderId="0" xfId="0" applyNumberFormat="1" applyFont="1" applyFill="1" applyAlignment="1">
      <alignment horizontal="center"/>
    </xf>
    <xf numFmtId="173" fontId="21" fillId="8" borderId="0" xfId="0" applyNumberFormat="1" applyFont="1" applyFill="1" applyAlignment="1">
      <alignment horizontal="center"/>
    </xf>
    <xf numFmtId="164" fontId="20" fillId="0" borderId="11" xfId="0" applyFont="1" applyBorder="1" applyAlignment="1">
      <alignment horizontal="left"/>
    </xf>
    <xf numFmtId="164" fontId="20" fillId="0" borderId="12" xfId="0" applyFont="1" applyBorder="1" applyAlignment="1">
      <alignment horizontal="left"/>
    </xf>
    <xf numFmtId="171" fontId="20" fillId="2" borderId="12" xfId="0" applyNumberFormat="1" applyFont="1" applyFill="1" applyBorder="1" applyAlignment="1">
      <alignment horizontal="center"/>
    </xf>
    <xf numFmtId="171" fontId="20" fillId="8" borderId="12" xfId="0" applyNumberFormat="1" applyFont="1" applyFill="1" applyBorder="1" applyAlignment="1">
      <alignment horizontal="center"/>
    </xf>
    <xf numFmtId="171" fontId="21" fillId="8" borderId="12" xfId="0" applyNumberFormat="1" applyFont="1" applyFill="1" applyBorder="1" applyAlignment="1">
      <alignment horizontal="center"/>
    </xf>
    <xf numFmtId="171" fontId="20" fillId="8" borderId="13" xfId="0" applyNumberFormat="1" applyFont="1" applyFill="1" applyBorder="1" applyAlignment="1">
      <alignment horizontal="center"/>
    </xf>
    <xf numFmtId="164" fontId="14" fillId="5" borderId="3" xfId="0" applyFont="1" applyFill="1" applyBorder="1" applyAlignment="1">
      <alignment horizontal="center"/>
    </xf>
    <xf numFmtId="164" fontId="14" fillId="5" borderId="4" xfId="0" applyFont="1" applyFill="1" applyBorder="1" applyAlignment="1">
      <alignment horizontal="center"/>
    </xf>
    <xf numFmtId="164" fontId="14" fillId="4" borderId="4" xfId="0" applyFont="1" applyFill="1" applyBorder="1" applyAlignment="1">
      <alignment horizontal="center"/>
    </xf>
    <xf numFmtId="164" fontId="20" fillId="0" borderId="7" xfId="0" applyFont="1" applyBorder="1" applyAlignment="1">
      <alignment horizontal="left"/>
    </xf>
    <xf numFmtId="164" fontId="20" fillId="0" borderId="6" xfId="0" applyFont="1" applyBorder="1" applyAlignment="1">
      <alignment horizontal="left"/>
    </xf>
    <xf numFmtId="169" fontId="20" fillId="9" borderId="6" xfId="0" applyNumberFormat="1" applyFont="1" applyFill="1" applyBorder="1" applyAlignment="1">
      <alignment horizontal="center"/>
    </xf>
    <xf numFmtId="164" fontId="20" fillId="0" borderId="9" xfId="0" applyFont="1" applyBorder="1" applyAlignment="1">
      <alignment horizontal="left"/>
    </xf>
    <xf numFmtId="164" fontId="20" fillId="0" borderId="0" xfId="0" applyFont="1" applyAlignment="1">
      <alignment horizontal="left"/>
    </xf>
    <xf numFmtId="169" fontId="20" fillId="9" borderId="0" xfId="0" applyNumberFormat="1" applyFont="1" applyFill="1" applyAlignment="1">
      <alignment horizontal="center"/>
    </xf>
    <xf numFmtId="169" fontId="20" fillId="9" borderId="10" xfId="0" applyNumberFormat="1" applyFont="1" applyFill="1" applyBorder="1" applyAlignment="1">
      <alignment horizontal="center"/>
    </xf>
    <xf numFmtId="164" fontId="20" fillId="0" borderId="9" xfId="0" applyFont="1" applyBorder="1"/>
    <xf numFmtId="164" fontId="20" fillId="0" borderId="0" xfId="0" applyFont="1"/>
    <xf numFmtId="164" fontId="14" fillId="5" borderId="3" xfId="0" applyFont="1" applyFill="1" applyBorder="1"/>
    <xf numFmtId="164" fontId="14" fillId="5" borderId="4" xfId="0" applyFont="1" applyFill="1" applyBorder="1"/>
    <xf numFmtId="164" fontId="14" fillId="5" borderId="5" xfId="0" applyFont="1" applyFill="1" applyBorder="1" applyAlignment="1">
      <alignment horizontal="center"/>
    </xf>
    <xf numFmtId="166" fontId="20" fillId="2" borderId="6" xfId="0" applyNumberFormat="1" applyFont="1" applyFill="1" applyBorder="1" applyAlignment="1">
      <alignment horizontal="center"/>
    </xf>
    <xf numFmtId="168" fontId="16" fillId="8" borderId="6" xfId="0" applyNumberFormat="1" applyFont="1" applyFill="1" applyBorder="1" applyAlignment="1">
      <alignment horizontal="center"/>
    </xf>
    <xf numFmtId="168" fontId="16" fillId="8" borderId="8" xfId="0" applyNumberFormat="1" applyFont="1" applyFill="1" applyBorder="1" applyAlignment="1">
      <alignment horizontal="center"/>
    </xf>
    <xf numFmtId="164" fontId="21" fillId="0" borderId="0" xfId="0" applyFont="1" applyAlignment="1">
      <alignment horizontal="left"/>
    </xf>
    <xf numFmtId="166" fontId="20" fillId="2" borderId="0" xfId="0" applyNumberFormat="1" applyFont="1" applyFill="1" applyAlignment="1">
      <alignment horizontal="center"/>
    </xf>
    <xf numFmtId="166" fontId="20" fillId="8" borderId="0" xfId="0" applyNumberFormat="1" applyFont="1" applyFill="1" applyAlignment="1">
      <alignment horizontal="center"/>
    </xf>
    <xf numFmtId="166" fontId="16" fillId="8" borderId="0" xfId="0" applyNumberFormat="1" applyFont="1" applyFill="1" applyAlignment="1">
      <alignment horizontal="center"/>
    </xf>
    <xf numFmtId="166" fontId="16" fillId="8" borderId="10" xfId="0" applyNumberFormat="1" applyFont="1" applyFill="1" applyBorder="1" applyAlignment="1">
      <alignment horizontal="center"/>
    </xf>
    <xf numFmtId="166" fontId="20" fillId="8" borderId="10" xfId="0" applyNumberFormat="1" applyFont="1" applyFill="1" applyBorder="1" applyAlignment="1">
      <alignment horizontal="center"/>
    </xf>
    <xf numFmtId="164" fontId="21" fillId="0" borderId="11" xfId="0" applyFont="1" applyBorder="1"/>
    <xf numFmtId="164" fontId="23" fillId="0" borderId="12" xfId="0" applyFont="1" applyBorder="1"/>
    <xf numFmtId="166" fontId="20" fillId="8" borderId="12" xfId="0" applyNumberFormat="1" applyFont="1" applyFill="1" applyBorder="1" applyAlignment="1">
      <alignment horizontal="center"/>
    </xf>
    <xf numFmtId="166" fontId="20" fillId="8" borderId="13" xfId="0" applyNumberFormat="1" applyFont="1" applyFill="1" applyBorder="1" applyAlignment="1">
      <alignment horizontal="center"/>
    </xf>
    <xf numFmtId="167" fontId="24" fillId="8" borderId="6" xfId="0" applyNumberFormat="1" applyFont="1" applyFill="1" applyBorder="1" applyAlignment="1">
      <alignment horizontal="center"/>
    </xf>
    <xf numFmtId="167" fontId="24" fillId="8" borderId="8" xfId="0" applyNumberFormat="1" applyFont="1" applyFill="1" applyBorder="1" applyAlignment="1">
      <alignment horizontal="center"/>
    </xf>
    <xf numFmtId="167" fontId="24" fillId="8" borderId="0" xfId="0" applyNumberFormat="1" applyFont="1" applyFill="1" applyAlignment="1">
      <alignment horizontal="center"/>
    </xf>
    <xf numFmtId="167" fontId="24" fillId="8" borderId="10" xfId="0" applyNumberFormat="1" applyFont="1" applyFill="1" applyBorder="1" applyAlignment="1">
      <alignment horizontal="center"/>
    </xf>
    <xf numFmtId="164" fontId="20" fillId="0" borderId="11" xfId="0" applyFont="1" applyBorder="1"/>
    <xf numFmtId="164" fontId="20" fillId="0" borderId="12" xfId="0" applyFont="1" applyBorder="1"/>
    <xf numFmtId="167" fontId="24" fillId="8" borderId="12" xfId="0" applyNumberFormat="1" applyFont="1" applyFill="1" applyBorder="1" applyAlignment="1">
      <alignment horizontal="center"/>
    </xf>
    <xf numFmtId="167" fontId="24" fillId="8" borderId="13" xfId="0" applyNumberFormat="1" applyFont="1" applyFill="1" applyBorder="1" applyAlignment="1">
      <alignment horizontal="center"/>
    </xf>
    <xf numFmtId="164" fontId="14" fillId="5" borderId="3" xfId="0" applyFont="1" applyFill="1" applyBorder="1" applyAlignment="1">
      <alignment horizontal="left"/>
    </xf>
    <xf numFmtId="164" fontId="14" fillId="5" borderId="4" xfId="0" applyFont="1" applyFill="1" applyBorder="1" applyAlignment="1">
      <alignment horizontal="left"/>
    </xf>
    <xf numFmtId="173" fontId="20" fillId="8" borderId="0" xfId="0" applyNumberFormat="1" applyFont="1" applyFill="1" applyAlignment="1">
      <alignment horizontal="center"/>
    </xf>
    <xf numFmtId="173" fontId="20" fillId="8" borderId="10" xfId="0" applyNumberFormat="1" applyFont="1" applyFill="1" applyBorder="1" applyAlignment="1">
      <alignment horizontal="center"/>
    </xf>
    <xf numFmtId="164" fontId="13" fillId="0" borderId="0" xfId="0" applyFont="1" applyAlignment="1">
      <alignment horizontal="center"/>
    </xf>
    <xf numFmtId="166" fontId="20" fillId="2" borderId="12" xfId="0" applyNumberFormat="1" applyFont="1" applyFill="1" applyBorder="1" applyAlignment="1">
      <alignment horizontal="center"/>
    </xf>
    <xf numFmtId="9" fontId="20" fillId="0" borderId="0" xfId="0" applyNumberFormat="1" applyFont="1" applyAlignment="1">
      <alignment horizontal="center"/>
    </xf>
    <xf numFmtId="170" fontId="20" fillId="0" borderId="0" xfId="0" applyNumberFormat="1" applyFont="1" applyAlignment="1">
      <alignment horizontal="center"/>
    </xf>
    <xf numFmtId="173" fontId="20" fillId="0" borderId="0" xfId="0" applyNumberFormat="1" applyFont="1" applyAlignment="1">
      <alignment horizontal="center"/>
    </xf>
    <xf numFmtId="168" fontId="20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168" fontId="13" fillId="0" borderId="0" xfId="0" applyNumberFormat="1" applyFont="1"/>
    <xf numFmtId="164" fontId="25" fillId="0" borderId="0" xfId="0" applyFont="1" applyAlignment="1">
      <alignment vertical="center"/>
    </xf>
    <xf numFmtId="169" fontId="13" fillId="0" borderId="0" xfId="0" applyNumberFormat="1" applyFont="1" applyAlignment="1">
      <alignment horizontal="center"/>
    </xf>
    <xf numFmtId="164" fontId="26" fillId="0" borderId="0" xfId="0" applyFont="1" applyAlignment="1">
      <alignment vertical="center"/>
    </xf>
    <xf numFmtId="173" fontId="13" fillId="0" borderId="0" xfId="0" applyNumberFormat="1" applyFont="1" applyAlignment="1">
      <alignment horizontal="center"/>
    </xf>
    <xf numFmtId="164" fontId="27" fillId="0" borderId="0" xfId="0" applyFont="1" applyAlignment="1">
      <alignment vertical="center"/>
    </xf>
    <xf numFmtId="38" fontId="13" fillId="0" borderId="0" xfId="0" applyNumberFormat="1" applyFont="1" applyAlignment="1">
      <alignment horizontal="center"/>
    </xf>
    <xf numFmtId="164" fontId="28" fillId="0" borderId="0" xfId="0" applyFont="1"/>
    <xf numFmtId="164" fontId="10" fillId="0" borderId="0" xfId="0" applyFont="1"/>
    <xf numFmtId="164" fontId="13" fillId="0" borderId="0" xfId="0" applyFont="1" applyAlignment="1">
      <alignment horizontal="left"/>
    </xf>
    <xf numFmtId="173" fontId="13" fillId="0" borderId="0" xfId="0" applyNumberFormat="1" applyFont="1"/>
    <xf numFmtId="164" fontId="29" fillId="0" borderId="0" xfId="0" applyFont="1" applyAlignment="1">
      <alignment horizontal="center" vertical="center"/>
    </xf>
    <xf numFmtId="174" fontId="20" fillId="0" borderId="0" xfId="0" applyNumberFormat="1" applyFont="1"/>
    <xf numFmtId="0" fontId="4" fillId="0" borderId="0" xfId="2"/>
    <xf numFmtId="0" fontId="31" fillId="0" borderId="16" xfId="2" applyFont="1" applyBorder="1"/>
    <xf numFmtId="0" fontId="4" fillId="0" borderId="16" xfId="2" applyBorder="1"/>
    <xf numFmtId="0" fontId="32" fillId="0" borderId="17" xfId="2" applyFont="1" applyBorder="1"/>
    <xf numFmtId="14" fontId="33" fillId="0" borderId="0" xfId="2" applyNumberFormat="1" applyFont="1"/>
    <xf numFmtId="175" fontId="34" fillId="0" borderId="0" xfId="2" applyNumberFormat="1" applyFont="1"/>
    <xf numFmtId="14" fontId="35" fillId="0" borderId="0" xfId="2" applyNumberFormat="1" applyFont="1"/>
    <xf numFmtId="7" fontId="33" fillId="0" borderId="0" xfId="2" applyNumberFormat="1" applyFont="1"/>
    <xf numFmtId="14" fontId="33" fillId="0" borderId="0" xfId="2" applyNumberFormat="1" applyFont="1" applyAlignment="1">
      <alignment horizontal="right"/>
    </xf>
    <xf numFmtId="0" fontId="36" fillId="0" borderId="0" xfId="3" applyBorder="1"/>
    <xf numFmtId="176" fontId="37" fillId="0" borderId="18" xfId="2" applyNumberFormat="1" applyFont="1" applyBorder="1" applyAlignment="1">
      <alignment horizontal="center"/>
    </xf>
    <xf numFmtId="177" fontId="35" fillId="0" borderId="0" xfId="2" applyNumberFormat="1" applyFont="1"/>
    <xf numFmtId="7" fontId="34" fillId="0" borderId="0" xfId="2" applyNumberFormat="1" applyFont="1" applyAlignment="1">
      <alignment horizontal="right"/>
    </xf>
    <xf numFmtId="0" fontId="31" fillId="0" borderId="19" xfId="2" applyFont="1" applyBorder="1"/>
    <xf numFmtId="0" fontId="4" fillId="0" borderId="19" xfId="2" applyBorder="1"/>
    <xf numFmtId="0" fontId="38" fillId="0" borderId="0" xfId="2" applyFont="1" applyAlignment="1">
      <alignment horizontal="centerContinuous"/>
    </xf>
    <xf numFmtId="178" fontId="4" fillId="0" borderId="21" xfId="2" applyNumberFormat="1" applyBorder="1" applyAlignment="1">
      <alignment horizontal="center"/>
    </xf>
    <xf numFmtId="178" fontId="4" fillId="0" borderId="22" xfId="2" applyNumberFormat="1" applyBorder="1" applyAlignment="1">
      <alignment horizontal="center"/>
    </xf>
    <xf numFmtId="179" fontId="31" fillId="0" borderId="21" xfId="2" applyNumberFormat="1" applyFont="1" applyBorder="1"/>
    <xf numFmtId="176" fontId="33" fillId="0" borderId="21" xfId="2" applyNumberFormat="1" applyFont="1" applyBorder="1"/>
    <xf numFmtId="0" fontId="4" fillId="0" borderId="21" xfId="2" applyBorder="1"/>
    <xf numFmtId="177" fontId="35" fillId="0" borderId="21" xfId="2" applyNumberFormat="1" applyFont="1" applyBorder="1"/>
    <xf numFmtId="176" fontId="34" fillId="0" borderId="21" xfId="2" applyNumberFormat="1" applyFont="1" applyBorder="1"/>
    <xf numFmtId="176" fontId="35" fillId="0" borderId="21" xfId="2" applyNumberFormat="1" applyFont="1" applyBorder="1"/>
    <xf numFmtId="175" fontId="33" fillId="0" borderId="23" xfId="2" applyNumberFormat="1" applyFont="1" applyBorder="1"/>
    <xf numFmtId="0" fontId="31" fillId="0" borderId="0" xfId="2" applyFont="1"/>
    <xf numFmtId="176" fontId="41" fillId="0" borderId="23" xfId="2" applyNumberFormat="1" applyFont="1" applyBorder="1"/>
    <xf numFmtId="176" fontId="35" fillId="0" borderId="23" xfId="2" applyNumberFormat="1" applyFont="1" applyBorder="1"/>
    <xf numFmtId="176" fontId="4" fillId="0" borderId="0" xfId="2" applyNumberFormat="1"/>
    <xf numFmtId="177" fontId="35" fillId="0" borderId="24" xfId="2" applyNumberFormat="1" applyFont="1" applyBorder="1"/>
    <xf numFmtId="176" fontId="34" fillId="0" borderId="19" xfId="2" applyNumberFormat="1" applyFont="1" applyBorder="1"/>
    <xf numFmtId="176" fontId="39" fillId="0" borderId="19" xfId="2" applyNumberFormat="1" applyFont="1" applyBorder="1" applyAlignment="1">
      <alignment horizontal="center"/>
    </xf>
    <xf numFmtId="176" fontId="35" fillId="0" borderId="19" xfId="2" applyNumberFormat="1" applyFont="1" applyBorder="1"/>
    <xf numFmtId="0" fontId="4" fillId="0" borderId="0" xfId="2" applyAlignment="1">
      <alignment horizontal="left"/>
    </xf>
    <xf numFmtId="37" fontId="40" fillId="0" borderId="19" xfId="2" applyNumberFormat="1" applyFont="1" applyBorder="1" applyAlignment="1">
      <alignment horizontal="right"/>
    </xf>
    <xf numFmtId="9" fontId="4" fillId="0" borderId="0" xfId="2" applyNumberFormat="1"/>
    <xf numFmtId="0" fontId="35" fillId="10" borderId="0" xfId="2" applyFont="1" applyFill="1"/>
    <xf numFmtId="0" fontId="44" fillId="0" borderId="0" xfId="2" applyFont="1" applyAlignment="1">
      <alignment horizontal="centerContinuous"/>
    </xf>
    <xf numFmtId="0" fontId="38" fillId="0" borderId="23" xfId="2" applyFont="1" applyBorder="1" applyAlignment="1">
      <alignment horizontal="centerContinuous"/>
    </xf>
    <xf numFmtId="0" fontId="4" fillId="0" borderId="0" xfId="2" applyAlignment="1">
      <alignment horizontal="centerContinuous"/>
    </xf>
    <xf numFmtId="0" fontId="4" fillId="0" borderId="23" xfId="2" applyBorder="1" applyAlignment="1">
      <alignment horizontal="centerContinuous"/>
    </xf>
    <xf numFmtId="0" fontId="4" fillId="0" borderId="0" xfId="2" applyAlignment="1">
      <alignment horizontal="right"/>
    </xf>
    <xf numFmtId="39" fontId="4" fillId="0" borderId="25" xfId="2" applyNumberFormat="1" applyBorder="1" applyAlignment="1">
      <alignment horizontal="right"/>
    </xf>
    <xf numFmtId="167" fontId="35" fillId="11" borderId="26" xfId="2" applyNumberFormat="1" applyFont="1" applyFill="1" applyBorder="1"/>
    <xf numFmtId="167" fontId="35" fillId="11" borderId="27" xfId="2" applyNumberFormat="1" applyFont="1" applyFill="1" applyBorder="1"/>
    <xf numFmtId="167" fontId="33" fillId="11" borderId="27" xfId="2" applyNumberFormat="1" applyFont="1" applyFill="1" applyBorder="1"/>
    <xf numFmtId="167" fontId="35" fillId="11" borderId="23" xfId="2" applyNumberFormat="1" applyFont="1" applyFill="1" applyBorder="1"/>
    <xf numFmtId="181" fontId="4" fillId="0" borderId="28" xfId="2" applyNumberFormat="1" applyBorder="1" applyAlignment="1">
      <alignment horizontal="right"/>
    </xf>
    <xf numFmtId="167" fontId="35" fillId="11" borderId="29" xfId="2" applyNumberFormat="1" applyFont="1" applyFill="1" applyBorder="1" applyAlignment="1">
      <alignment horizontal="right"/>
    </xf>
    <xf numFmtId="190" fontId="4" fillId="0" borderId="0" xfId="2" applyNumberFormat="1"/>
    <xf numFmtId="190" fontId="4" fillId="0" borderId="23" xfId="2" applyNumberFormat="1" applyBorder="1"/>
    <xf numFmtId="181" fontId="4" fillId="0" borderId="0" xfId="2" applyNumberFormat="1" applyAlignment="1">
      <alignment horizontal="right"/>
    </xf>
    <xf numFmtId="167" fontId="33" fillId="11" borderId="29" xfId="2" applyNumberFormat="1" applyFont="1" applyFill="1" applyBorder="1" applyAlignment="1">
      <alignment horizontal="right"/>
    </xf>
    <xf numFmtId="0" fontId="41" fillId="10" borderId="0" xfId="2" applyFont="1" applyFill="1" applyAlignment="1">
      <alignment horizontal="center"/>
    </xf>
    <xf numFmtId="167" fontId="35" fillId="11" borderId="30" xfId="2" applyNumberFormat="1" applyFont="1" applyFill="1" applyBorder="1" applyAlignment="1">
      <alignment horizontal="right"/>
    </xf>
    <xf numFmtId="191" fontId="4" fillId="0" borderId="0" xfId="2" applyNumberFormat="1"/>
    <xf numFmtId="191" fontId="4" fillId="0" borderId="23" xfId="2" applyNumberFormat="1" applyBorder="1"/>
    <xf numFmtId="187" fontId="4" fillId="0" borderId="28" xfId="2" applyNumberFormat="1" applyBorder="1"/>
    <xf numFmtId="181" fontId="35" fillId="11" borderId="27" xfId="2" applyNumberFormat="1" applyFont="1" applyFill="1" applyBorder="1"/>
    <xf numFmtId="181" fontId="33" fillId="11" borderId="27" xfId="2" applyNumberFormat="1" applyFont="1" applyFill="1" applyBorder="1"/>
    <xf numFmtId="181" fontId="35" fillId="11" borderId="23" xfId="2" applyNumberFormat="1" applyFont="1" applyFill="1" applyBorder="1"/>
    <xf numFmtId="0" fontId="4" fillId="0" borderId="23" xfId="2" applyBorder="1"/>
    <xf numFmtId="0" fontId="31" fillId="12" borderId="0" xfId="2" applyFont="1" applyFill="1"/>
    <xf numFmtId="0" fontId="31" fillId="12" borderId="23" xfId="2" applyFont="1" applyFill="1" applyBorder="1"/>
    <xf numFmtId="192" fontId="4" fillId="0" borderId="0" xfId="2" applyNumberFormat="1"/>
    <xf numFmtId="0" fontId="4" fillId="0" borderId="26" xfId="2" applyBorder="1"/>
    <xf numFmtId="0" fontId="4" fillId="0" borderId="27" xfId="2" applyBorder="1" applyAlignment="1">
      <alignment horizontal="right"/>
    </xf>
    <xf numFmtId="0" fontId="4" fillId="0" borderId="31" xfId="2" applyBorder="1" applyAlignment="1">
      <alignment horizontal="right"/>
    </xf>
    <xf numFmtId="0" fontId="4" fillId="0" borderId="27" xfId="2" applyBorder="1"/>
    <xf numFmtId="0" fontId="4" fillId="0" borderId="32" xfId="2" applyBorder="1"/>
    <xf numFmtId="0" fontId="4" fillId="0" borderId="33" xfId="2" quotePrefix="1" applyBorder="1"/>
    <xf numFmtId="39" fontId="4" fillId="0" borderId="0" xfId="2" applyNumberFormat="1"/>
    <xf numFmtId="39" fontId="4" fillId="0" borderId="34" xfId="2" applyNumberFormat="1" applyBorder="1"/>
    <xf numFmtId="39" fontId="35" fillId="0" borderId="0" xfId="2" applyNumberFormat="1" applyFont="1"/>
    <xf numFmtId="39" fontId="35" fillId="0" borderId="34" xfId="2" applyNumberFormat="1" applyFont="1" applyBorder="1"/>
    <xf numFmtId="0" fontId="4" fillId="0" borderId="33" xfId="2" applyBorder="1"/>
    <xf numFmtId="0" fontId="4" fillId="0" borderId="35" xfId="2" applyBorder="1"/>
    <xf numFmtId="39" fontId="4" fillId="0" borderId="25" xfId="2" applyNumberFormat="1" applyBorder="1"/>
    <xf numFmtId="39" fontId="4" fillId="0" borderId="28" xfId="2" applyNumberFormat="1" applyBorder="1"/>
    <xf numFmtId="0" fontId="4" fillId="0" borderId="25" xfId="2" applyBorder="1"/>
    <xf numFmtId="0" fontId="4" fillId="0" borderId="36" xfId="2" applyBorder="1"/>
    <xf numFmtId="39" fontId="35" fillId="0" borderId="25" xfId="2" applyNumberFormat="1" applyFont="1" applyBorder="1"/>
    <xf numFmtId="39" fontId="35" fillId="0" borderId="28" xfId="2" applyNumberFormat="1" applyFont="1" applyBorder="1"/>
    <xf numFmtId="0" fontId="3" fillId="0" borderId="0" xfId="4"/>
    <xf numFmtId="44" fontId="0" fillId="0" borderId="0" xfId="5" applyFont="1"/>
    <xf numFmtId="193" fontId="3" fillId="0" borderId="0" xfId="4" applyNumberFormat="1"/>
    <xf numFmtId="10" fontId="0" fillId="0" borderId="0" xfId="6" applyNumberFormat="1" applyFont="1"/>
    <xf numFmtId="44" fontId="3" fillId="0" borderId="0" xfId="4" applyNumberFormat="1"/>
    <xf numFmtId="37" fontId="3" fillId="0" borderId="0" xfId="4" applyNumberFormat="1"/>
    <xf numFmtId="10" fontId="3" fillId="0" borderId="0" xfId="4" applyNumberFormat="1"/>
    <xf numFmtId="0" fontId="2" fillId="0" borderId="7" xfId="2" applyFont="1" applyBorder="1"/>
    <xf numFmtId="0" fontId="4" fillId="0" borderId="6" xfId="2" applyBorder="1"/>
    <xf numFmtId="9" fontId="4" fillId="0" borderId="6" xfId="2" applyNumberFormat="1" applyBorder="1"/>
    <xf numFmtId="0" fontId="4" fillId="0" borderId="8" xfId="2" applyBorder="1"/>
    <xf numFmtId="0" fontId="31" fillId="0" borderId="37" xfId="2" applyFont="1" applyBorder="1"/>
    <xf numFmtId="176" fontId="34" fillId="0" borderId="38" xfId="2" applyNumberFormat="1" applyFont="1" applyBorder="1"/>
    <xf numFmtId="0" fontId="31" fillId="0" borderId="9" xfId="2" applyFont="1" applyBorder="1"/>
    <xf numFmtId="176" fontId="39" fillId="0" borderId="0" xfId="2" applyNumberFormat="1" applyFont="1"/>
    <xf numFmtId="176" fontId="39" fillId="0" borderId="10" xfId="2" applyNumberFormat="1" applyFont="1" applyBorder="1"/>
    <xf numFmtId="0" fontId="4" fillId="0" borderId="9" xfId="2" applyBorder="1"/>
    <xf numFmtId="0" fontId="42" fillId="0" borderId="0" xfId="2" applyFont="1" applyAlignment="1">
      <alignment horizontal="center"/>
    </xf>
    <xf numFmtId="14" fontId="4" fillId="0" borderId="0" xfId="2" applyNumberFormat="1"/>
    <xf numFmtId="14" fontId="3" fillId="0" borderId="0" xfId="1" applyNumberFormat="1" applyFont="1" applyBorder="1"/>
    <xf numFmtId="14" fontId="4" fillId="0" borderId="10" xfId="2" applyNumberFormat="1" applyBorder="1"/>
    <xf numFmtId="177" fontId="4" fillId="0" borderId="0" xfId="2" applyNumberFormat="1" applyAlignment="1">
      <alignment horizontal="center"/>
    </xf>
    <xf numFmtId="176" fontId="35" fillId="0" borderId="38" xfId="2" applyNumberFormat="1" applyFont="1" applyBorder="1"/>
    <xf numFmtId="0" fontId="41" fillId="0" borderId="0" xfId="2" applyFont="1"/>
    <xf numFmtId="176" fontId="41" fillId="0" borderId="0" xfId="2" applyNumberFormat="1" applyFont="1"/>
    <xf numFmtId="176" fontId="41" fillId="0" borderId="10" xfId="2" applyNumberFormat="1" applyFont="1" applyBorder="1"/>
    <xf numFmtId="0" fontId="4" fillId="0" borderId="10" xfId="2" applyBorder="1"/>
    <xf numFmtId="0" fontId="4" fillId="0" borderId="38" xfId="2" applyBorder="1"/>
    <xf numFmtId="177" fontId="33" fillId="0" borderId="0" xfId="2" applyNumberFormat="1" applyFont="1"/>
    <xf numFmtId="0" fontId="2" fillId="0" borderId="0" xfId="2" applyFont="1"/>
    <xf numFmtId="176" fontId="4" fillId="0" borderId="10" xfId="2" applyNumberFormat="1" applyBorder="1"/>
    <xf numFmtId="180" fontId="4" fillId="0" borderId="9" xfId="2" applyNumberFormat="1" applyBorder="1"/>
    <xf numFmtId="181" fontId="33" fillId="0" borderId="10" xfId="2" applyNumberFormat="1" applyFont="1" applyBorder="1"/>
    <xf numFmtId="176" fontId="35" fillId="0" borderId="0" xfId="2" applyNumberFormat="1" applyFont="1"/>
    <xf numFmtId="176" fontId="31" fillId="0" borderId="0" xfId="2" applyNumberFormat="1" applyFont="1"/>
    <xf numFmtId="0" fontId="33" fillId="0" borderId="0" xfId="2" applyFont="1"/>
    <xf numFmtId="176" fontId="31" fillId="0" borderId="10" xfId="2" applyNumberFormat="1" applyFont="1" applyBorder="1"/>
    <xf numFmtId="177" fontId="4" fillId="0" borderId="0" xfId="2" applyNumberFormat="1"/>
    <xf numFmtId="0" fontId="40" fillId="0" borderId="9" xfId="2" applyFont="1" applyBorder="1" applyAlignment="1">
      <alignment horizontal="left"/>
    </xf>
    <xf numFmtId="177" fontId="40" fillId="0" borderId="0" xfId="2" applyNumberFormat="1" applyFont="1"/>
    <xf numFmtId="0" fontId="40" fillId="0" borderId="0" xfId="2" applyFont="1" applyAlignment="1">
      <alignment horizontal="left"/>
    </xf>
    <xf numFmtId="177" fontId="40" fillId="0" borderId="10" xfId="2" applyNumberFormat="1" applyFont="1" applyBorder="1"/>
    <xf numFmtId="182" fontId="40" fillId="0" borderId="0" xfId="2" applyNumberFormat="1" applyFont="1"/>
    <xf numFmtId="181" fontId="40" fillId="0" borderId="0" xfId="2" applyNumberFormat="1" applyFont="1"/>
    <xf numFmtId="175" fontId="4" fillId="0" borderId="10" xfId="2" quotePrefix="1" applyNumberFormat="1" applyBorder="1"/>
    <xf numFmtId="0" fontId="38" fillId="0" borderId="0" xfId="2" applyFont="1" applyAlignment="1">
      <alignment horizontal="right"/>
    </xf>
    <xf numFmtId="37" fontId="4" fillId="0" borderId="0" xfId="2" applyNumberFormat="1" applyAlignment="1">
      <alignment horizontal="right"/>
    </xf>
    <xf numFmtId="0" fontId="31" fillId="0" borderId="11" xfId="2" applyFont="1" applyBorder="1"/>
    <xf numFmtId="187" fontId="31" fillId="0" borderId="12" xfId="2" applyNumberFormat="1" applyFont="1" applyBorder="1" applyAlignment="1">
      <alignment horizontal="right"/>
    </xf>
    <xf numFmtId="0" fontId="4" fillId="0" borderId="12" xfId="2" applyBorder="1"/>
    <xf numFmtId="176" fontId="35" fillId="0" borderId="12" xfId="2" applyNumberFormat="1" applyFont="1" applyBorder="1"/>
    <xf numFmtId="0" fontId="4" fillId="0" borderId="13" xfId="2" applyBorder="1"/>
    <xf numFmtId="0" fontId="4" fillId="0" borderId="39" xfId="2" applyBorder="1"/>
    <xf numFmtId="7" fontId="34" fillId="0" borderId="39" xfId="2" applyNumberFormat="1" applyFont="1" applyBorder="1" applyAlignment="1">
      <alignment horizontal="right"/>
    </xf>
    <xf numFmtId="0" fontId="40" fillId="0" borderId="9" xfId="2" applyFont="1" applyBorder="1"/>
    <xf numFmtId="14" fontId="4" fillId="0" borderId="0" xfId="2" applyNumberFormat="1" applyAlignment="1">
      <alignment horizontal="center"/>
    </xf>
    <xf numFmtId="180" fontId="31" fillId="0" borderId="0" xfId="2" applyNumberFormat="1" applyFont="1"/>
    <xf numFmtId="0" fontId="4" fillId="0" borderId="9" xfId="2" applyBorder="1" applyAlignment="1">
      <alignment horizontal="left" indent="1"/>
    </xf>
    <xf numFmtId="177" fontId="47" fillId="0" borderId="0" xfId="2" applyNumberFormat="1" applyFont="1"/>
    <xf numFmtId="176" fontId="34" fillId="0" borderId="0" xfId="2" applyNumberFormat="1" applyFont="1"/>
    <xf numFmtId="37" fontId="35" fillId="0" borderId="0" xfId="2" applyNumberFormat="1" applyFont="1"/>
    <xf numFmtId="176" fontId="33" fillId="0" borderId="0" xfId="2" applyNumberFormat="1" applyFont="1"/>
    <xf numFmtId="37" fontId="33" fillId="0" borderId="0" xfId="2" applyNumberFormat="1" applyFont="1"/>
    <xf numFmtId="0" fontId="2" fillId="0" borderId="9" xfId="2" applyFont="1" applyBorder="1"/>
    <xf numFmtId="181" fontId="33" fillId="0" borderId="0" xfId="2" applyNumberFormat="1" applyFont="1"/>
    <xf numFmtId="175" fontId="4" fillId="0" borderId="0" xfId="2" quotePrefix="1" applyNumberFormat="1"/>
    <xf numFmtId="0" fontId="40" fillId="0" borderId="0" xfId="2" applyFont="1"/>
    <xf numFmtId="37" fontId="4" fillId="0" borderId="0" xfId="2" applyNumberFormat="1"/>
    <xf numFmtId="0" fontId="4" fillId="0" borderId="9" xfId="2" applyBorder="1" applyAlignment="1">
      <alignment horizontal="left"/>
    </xf>
    <xf numFmtId="0" fontId="43" fillId="0" borderId="0" xfId="2" applyFont="1"/>
    <xf numFmtId="0" fontId="43" fillId="0" borderId="0" xfId="2" applyFont="1" applyAlignment="1">
      <alignment horizontal="right"/>
    </xf>
    <xf numFmtId="0" fontId="43" fillId="0" borderId="9" xfId="2" applyFont="1" applyBorder="1" applyAlignment="1">
      <alignment horizontal="left" vertical="center"/>
    </xf>
    <xf numFmtId="183" fontId="33" fillId="0" borderId="0" xfId="2" applyNumberFormat="1" applyFont="1"/>
    <xf numFmtId="184" fontId="33" fillId="0" borderId="0" xfId="2" applyNumberFormat="1" applyFont="1"/>
    <xf numFmtId="37" fontId="34" fillId="0" borderId="0" xfId="2" applyNumberFormat="1" applyFont="1"/>
    <xf numFmtId="184" fontId="34" fillId="0" borderId="0" xfId="2" applyNumberFormat="1" applyFont="1" applyAlignment="1">
      <alignment horizontal="right"/>
    </xf>
    <xf numFmtId="0" fontId="35" fillId="0" borderId="9" xfId="2" applyFont="1" applyBorder="1" applyAlignment="1">
      <alignment horizontal="left" indent="1"/>
    </xf>
    <xf numFmtId="0" fontId="31" fillId="0" borderId="0" xfId="2" applyFont="1" applyAlignment="1">
      <alignment horizontal="left"/>
    </xf>
    <xf numFmtId="185" fontId="31" fillId="0" borderId="0" xfId="2" applyNumberFormat="1" applyFont="1"/>
    <xf numFmtId="186" fontId="33" fillId="0" borderId="0" xfId="2" applyNumberFormat="1" applyFont="1"/>
    <xf numFmtId="0" fontId="4" fillId="0" borderId="9" xfId="2" applyBorder="1" applyAlignment="1">
      <alignment horizontal="left" vertical="center" indent="1"/>
    </xf>
    <xf numFmtId="0" fontId="31" fillId="0" borderId="9" xfId="2" applyFont="1" applyBorder="1" applyAlignment="1">
      <alignment vertical="center"/>
    </xf>
    <xf numFmtId="37" fontId="31" fillId="0" borderId="0" xfId="2" applyNumberFormat="1" applyFont="1"/>
    <xf numFmtId="176" fontId="4" fillId="0" borderId="0" xfId="2" applyNumberFormat="1" applyAlignment="1">
      <alignment horizontal="right"/>
    </xf>
    <xf numFmtId="180" fontId="4" fillId="0" borderId="0" xfId="2" applyNumberFormat="1"/>
    <xf numFmtId="187" fontId="31" fillId="0" borderId="0" xfId="2" applyNumberFormat="1" applyFont="1" applyAlignment="1">
      <alignment horizontal="right"/>
    </xf>
    <xf numFmtId="0" fontId="43" fillId="0" borderId="9" xfId="2" applyFont="1" applyBorder="1"/>
    <xf numFmtId="188" fontId="4" fillId="0" borderId="0" xfId="2" applyNumberFormat="1" applyAlignment="1">
      <alignment horizontal="right"/>
    </xf>
    <xf numFmtId="189" fontId="4" fillId="0" borderId="0" xfId="2" applyNumberFormat="1" applyAlignment="1">
      <alignment horizontal="right"/>
    </xf>
    <xf numFmtId="176" fontId="35" fillId="0" borderId="11" xfId="2" applyNumberFormat="1" applyFont="1" applyBorder="1"/>
    <xf numFmtId="188" fontId="4" fillId="0" borderId="12" xfId="2" applyNumberFormat="1" applyBorder="1" applyAlignment="1">
      <alignment horizontal="right"/>
    </xf>
    <xf numFmtId="177" fontId="4" fillId="0" borderId="12" xfId="2" applyNumberFormat="1" applyBorder="1" applyAlignment="1">
      <alignment horizontal="right"/>
    </xf>
    <xf numFmtId="0" fontId="40" fillId="0" borderId="12" xfId="2" applyFont="1" applyBorder="1" applyAlignment="1">
      <alignment horizontal="left"/>
    </xf>
    <xf numFmtId="181" fontId="40" fillId="0" borderId="12" xfId="2" applyNumberFormat="1" applyFont="1" applyBorder="1"/>
    <xf numFmtId="175" fontId="4" fillId="0" borderId="12" xfId="2" quotePrefix="1" applyNumberFormat="1" applyBorder="1"/>
    <xf numFmtId="0" fontId="1" fillId="0" borderId="7" xfId="2" applyFont="1" applyBorder="1"/>
    <xf numFmtId="164" fontId="15" fillId="4" borderId="2" xfId="0" applyFont="1" applyFill="1" applyBorder="1" applyAlignment="1">
      <alignment horizontal="center"/>
    </xf>
    <xf numFmtId="164" fontId="15" fillId="5" borderId="2" xfId="0" applyFont="1" applyFill="1" applyBorder="1" applyAlignment="1">
      <alignment horizontal="center" vertical="center"/>
    </xf>
    <xf numFmtId="164" fontId="18" fillId="5" borderId="2" xfId="0" applyFont="1" applyFill="1" applyBorder="1" applyAlignment="1">
      <alignment horizontal="center" vertical="center"/>
    </xf>
    <xf numFmtId="164" fontId="16" fillId="2" borderId="1" xfId="0" applyFont="1" applyFill="1" applyBorder="1" applyAlignment="1">
      <alignment horizontal="left" vertical="top" wrapText="1"/>
    </xf>
    <xf numFmtId="164" fontId="16" fillId="2" borderId="8" xfId="0" applyFont="1" applyFill="1" applyBorder="1" applyAlignment="1">
      <alignment horizontal="left" vertical="top" wrapText="1"/>
    </xf>
    <xf numFmtId="164" fontId="16" fillId="2" borderId="14" xfId="0" applyFont="1" applyFill="1" applyBorder="1" applyAlignment="1">
      <alignment horizontal="left" vertical="top" wrapText="1"/>
    </xf>
    <xf numFmtId="164" fontId="16" fillId="2" borderId="10" xfId="0" applyFont="1" applyFill="1" applyBorder="1" applyAlignment="1">
      <alignment horizontal="left" vertical="top" wrapText="1"/>
    </xf>
    <xf numFmtId="164" fontId="16" fillId="2" borderId="2" xfId="0" applyFont="1" applyFill="1" applyBorder="1" applyAlignment="1">
      <alignment horizontal="center" vertical="top" wrapText="1"/>
    </xf>
    <xf numFmtId="164" fontId="16" fillId="2" borderId="15" xfId="0" applyFont="1" applyFill="1" applyBorder="1" applyAlignment="1">
      <alignment horizontal="left" vertical="top" wrapText="1"/>
    </xf>
    <xf numFmtId="164" fontId="15" fillId="5" borderId="15" xfId="0" applyFont="1" applyFill="1" applyBorder="1" applyAlignment="1">
      <alignment horizontal="center" vertical="center"/>
    </xf>
    <xf numFmtId="164" fontId="16" fillId="2" borderId="15" xfId="0" applyFont="1" applyFill="1" applyBorder="1" applyAlignment="1">
      <alignment horizontal="center" vertical="top" wrapText="1"/>
    </xf>
    <xf numFmtId="164" fontId="15" fillId="4" borderId="2" xfId="0" applyFont="1" applyFill="1" applyBorder="1" applyAlignment="1">
      <alignment horizontal="center" vertical="center"/>
    </xf>
    <xf numFmtId="164" fontId="15" fillId="5" borderId="1" xfId="0" applyFont="1" applyFill="1" applyBorder="1" applyAlignment="1">
      <alignment horizontal="center" vertical="center"/>
    </xf>
    <xf numFmtId="164" fontId="16" fillId="2" borderId="2" xfId="0" applyFont="1" applyFill="1" applyBorder="1" applyAlignment="1">
      <alignment horizontal="left" vertical="top" wrapText="1"/>
    </xf>
    <xf numFmtId="165" fontId="10" fillId="2" borderId="13" xfId="0" applyNumberFormat="1" applyFont="1" applyFill="1" applyBorder="1" applyAlignment="1">
      <alignment horizontal="center"/>
    </xf>
    <xf numFmtId="164" fontId="5" fillId="2" borderId="1" xfId="0" applyFont="1" applyFill="1" applyBorder="1" applyAlignment="1">
      <alignment horizontal="center" vertical="center"/>
    </xf>
    <xf numFmtId="164" fontId="5" fillId="0" borderId="2" xfId="0" applyFont="1" applyBorder="1" applyAlignment="1">
      <alignment horizontal="left"/>
    </xf>
    <xf numFmtId="164" fontId="8" fillId="2" borderId="5" xfId="0" applyFont="1" applyFill="1" applyBorder="1" applyAlignment="1">
      <alignment horizontal="center" vertical="center"/>
    </xf>
    <xf numFmtId="164" fontId="5" fillId="0" borderId="2" xfId="0" applyFont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/>
    </xf>
    <xf numFmtId="0" fontId="39" fillId="0" borderId="20" xfId="2" applyFont="1" applyBorder="1" applyAlignment="1">
      <alignment horizontal="center"/>
    </xf>
  </cellXfs>
  <cellStyles count="8">
    <cellStyle name="Comma" xfId="1" builtinId="3"/>
    <cellStyle name="Comma 2" xfId="7" xr:uid="{33088C4B-492E-41A8-92D4-55CB9C0E95BF}"/>
    <cellStyle name="Currency 2" xfId="5" xr:uid="{2E4E90D4-3C48-4390-8EB4-5FCD76C37844}"/>
    <cellStyle name="Hyperlink 2" xfId="3" xr:uid="{4C82E6F3-EF06-418A-9876-C3F9C580FCA2}"/>
    <cellStyle name="Normal" xfId="0" builtinId="0"/>
    <cellStyle name="Normal 2" xfId="2" xr:uid="{5120D642-8F11-4E8F-B41E-0B4077EA30D7}"/>
    <cellStyle name="Normal 3" xfId="4" xr:uid="{147B9A88-49E2-4CEB-8C1B-0F5F97ED4B56}"/>
    <cellStyle name="Percent 2" xfId="6" xr:uid="{7B2CCF7D-F82F-4F0B-9802-21FF70C7F7E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5E0B4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5D7DE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1-Pager'!$B$152:$B$154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1-Pager'!$C$152:$C$154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E-47E8-9FDC-CF4EF4157896}"/>
            </c:ext>
          </c:extLst>
        </c:ser>
        <c:ser>
          <c:idx val="1"/>
          <c:order val="1"/>
          <c:invertIfNegative val="0"/>
          <c:cat>
            <c:strRef>
              <c:f>'DCF 1-Pager'!$B$152:$B$154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1-Pager'!$D$152:$D$154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158.35000000000002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E-47E8-9FDC-CF4EF4157896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1-Pager'!$B$152:$B$154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1-Pager'!$E$152:$E$154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327.85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E-47E8-9FDC-CF4EF4157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1-Pager'!$G$152:$G$154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#DIV/0!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'DCF 1-Pager'!$O$152:$O$154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1-4739-9563-FADE45D1A6D9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'DCF 1-Pager'!$G$152:$G$154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#DIV/0!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'DCF 1-Pager'!$P$152:$P$154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F1-4739-9563-FADE45D1A6D9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1-Pager'!$G$152:$G$154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#DIV/0!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'DCF 1-Pager'!$Q$152:$Q$154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F1-4739-9563-FADE45D1A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257040</xdr:colOff>
      <xdr:row>15</xdr:row>
      <xdr:rowOff>38160</xdr:rowOff>
    </xdr:from>
    <xdr:to>
      <xdr:col>30</xdr:col>
      <xdr:colOff>400320</xdr:colOff>
      <xdr:row>27</xdr:row>
      <xdr:rowOff>199800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89120" y="3438720"/>
          <a:ext cx="8029800" cy="301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237960</xdr:colOff>
      <xdr:row>0</xdr:row>
      <xdr:rowOff>200160</xdr:rowOff>
    </xdr:from>
    <xdr:to>
      <xdr:col>26</xdr:col>
      <xdr:colOff>552960</xdr:colOff>
      <xdr:row>14</xdr:row>
      <xdr:rowOff>171360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583960" y="200160"/>
          <a:ext cx="8858880" cy="31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247680</xdr:colOff>
      <xdr:row>25</xdr:row>
      <xdr:rowOff>0</xdr:rowOff>
    </xdr:from>
    <xdr:to>
      <xdr:col>24</xdr:col>
      <xdr:colOff>19440</xdr:colOff>
      <xdr:row>59</xdr:row>
      <xdr:rowOff>79920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593680" y="5781600"/>
          <a:ext cx="7001280" cy="601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6</xdr:col>
      <xdr:colOff>619200</xdr:colOff>
      <xdr:row>66</xdr:row>
      <xdr:rowOff>127080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9124920"/>
          <a:ext cx="6829560" cy="378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130</xdr:row>
      <xdr:rowOff>149424</xdr:rowOff>
    </xdr:from>
    <xdr:to>
      <xdr:col>4</xdr:col>
      <xdr:colOff>654844</xdr:colOff>
      <xdr:row>149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D4277-5DB9-4B06-95FB-4221493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130</xdr:row>
      <xdr:rowOff>149424</xdr:rowOff>
    </xdr:from>
    <xdr:to>
      <xdr:col>15</xdr:col>
      <xdr:colOff>657225</xdr:colOff>
      <xdr:row>149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DA036-3C48-42BE-9AB0-2258C9A85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158892</xdr:colOff>
      <xdr:row>56</xdr:row>
      <xdr:rowOff>24873</xdr:rowOff>
    </xdr:from>
    <xdr:to>
      <xdr:col>1</xdr:col>
      <xdr:colOff>161052</xdr:colOff>
      <xdr:row>56</xdr:row>
      <xdr:rowOff>39633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B4FCA36-5FB0-476D-A46A-669E09A86C45}"/>
                </a:ext>
              </a:extLst>
            </xdr14:cNvPr>
            <xdr14:cNvContentPartPr/>
          </xdr14:nvContentPartPr>
          <xdr14:nvPr macro=""/>
          <xdr14:xfrm>
            <a:off x="400680" y="10004142"/>
            <a:ext cx="2160" cy="14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B41F823-46A7-41E1-8EF3-D118193619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1680" y="9995502"/>
              <a:ext cx="19800" cy="32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308160</xdr:colOff>
      <xdr:row>19</xdr:row>
      <xdr:rowOff>27720</xdr:rowOff>
    </xdr:from>
    <xdr:to>
      <xdr:col>26</xdr:col>
      <xdr:colOff>519120</xdr:colOff>
      <xdr:row>66</xdr:row>
      <xdr:rowOff>120600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52040" y="3132720"/>
          <a:ext cx="8754840" cy="7770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247680</xdr:colOff>
      <xdr:row>44</xdr:row>
      <xdr:rowOff>8280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162840" cy="6714000"/>
        </a:xfrm>
        <a:prstGeom prst="rect">
          <a:avLst/>
        </a:prstGeom>
        <a:ln w="0">
          <a:noFill/>
        </a:ln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19:49:31.7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41 4852,'1'-4'3528,"0"-13"-1279,-3 1-7071,-2 13 3607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sdaq.com/market-activity/stocks/msft/short-interest" TargetMode="External"/><Relationship Id="rId2" Type="http://schemas.openxmlformats.org/officeDocument/2006/relationships/hyperlink" Target="https://www.chicagobooth.edu/~/media/FE874EE65F624AAEBD0166B1974FD74D.pdf" TargetMode="External"/><Relationship Id="rId1" Type="http://schemas.openxmlformats.org/officeDocument/2006/relationships/hyperlink" Target="https://en.wikipedia.org/wiki/Piotroski_F-score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w.nasdaq.com/market-activity/stocks/exas/institutional-holdings" TargetMode="External"/><Relationship Id="rId4" Type="http://schemas.openxmlformats.org/officeDocument/2006/relationships/hyperlink" Target="https://www.nyse.com/quote/XNGS:MSF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"/>
  <sheetViews>
    <sheetView showGridLines="0" tabSelected="1" zoomScaleNormal="100" workbookViewId="0">
      <selection activeCell="E10" sqref="E10:G10"/>
    </sheetView>
  </sheetViews>
  <sheetFormatPr baseColWidth="10" defaultColWidth="8.6640625" defaultRowHeight="14" x14ac:dyDescent="0.2"/>
  <cols>
    <col min="1" max="1" width="21.6640625" style="1" customWidth="1"/>
    <col min="2" max="2" width="14.6640625" style="1" customWidth="1"/>
    <col min="3" max="3" width="12" style="1" customWidth="1"/>
    <col min="4" max="4" width="2.1640625" style="1" customWidth="1"/>
    <col min="5" max="5" width="16.1640625" style="1" customWidth="1"/>
    <col min="6" max="7" width="14.5" style="1" customWidth="1"/>
    <col min="8" max="8" width="28.83203125" style="1" customWidth="1"/>
    <col min="9" max="9" width="11.6640625" style="1" customWidth="1"/>
    <col min="10" max="10" width="2.1640625" style="1" customWidth="1"/>
    <col min="11" max="11" width="23" style="1" customWidth="1"/>
    <col min="12" max="13" width="13.1640625" style="1" customWidth="1"/>
  </cols>
  <sheetData>
    <row r="1" spans="1:18" ht="28.5" customHeight="1" x14ac:dyDescent="0.35">
      <c r="A1" s="391"/>
      <c r="B1" s="391"/>
      <c r="C1" s="391"/>
      <c r="D1" s="391"/>
      <c r="E1" s="391"/>
      <c r="F1" s="391"/>
      <c r="G1" s="391"/>
      <c r="H1" s="392"/>
      <c r="I1" s="392"/>
      <c r="J1" s="392"/>
      <c r="K1" s="392"/>
      <c r="L1" s="392"/>
      <c r="M1" s="392"/>
    </row>
    <row r="2" spans="1:18" ht="21.75" customHeight="1" x14ac:dyDescent="0.2">
      <c r="A2" s="2" t="s">
        <v>0</v>
      </c>
      <c r="B2" s="3"/>
      <c r="C2" s="4"/>
      <c r="D2" s="5"/>
      <c r="E2" s="6" t="s">
        <v>1</v>
      </c>
      <c r="F2" s="393"/>
      <c r="G2" s="393"/>
      <c r="H2" s="394" t="s">
        <v>2</v>
      </c>
      <c r="I2" s="394"/>
      <c r="J2" s="394"/>
      <c r="K2" s="394"/>
      <c r="L2" s="394"/>
      <c r="M2" s="394"/>
    </row>
    <row r="3" spans="1:18" ht="15" customHeight="1" x14ac:dyDescent="0.2">
      <c r="A3" s="7" t="s">
        <v>3</v>
      </c>
      <c r="B3" s="8"/>
      <c r="C3" s="9"/>
      <c r="D3" s="10"/>
      <c r="E3" s="6" t="s">
        <v>4</v>
      </c>
      <c r="F3" s="395"/>
      <c r="G3" s="395"/>
      <c r="H3" s="11" t="s">
        <v>5</v>
      </c>
      <c r="I3" s="12"/>
      <c r="K3" s="11" t="s">
        <v>6</v>
      </c>
      <c r="M3" s="13">
        <f>C3*'Detail Data'!E9</f>
        <v>0</v>
      </c>
    </row>
    <row r="4" spans="1:18" ht="15" customHeight="1" x14ac:dyDescent="0.2">
      <c r="A4" s="14" t="s">
        <v>7</v>
      </c>
      <c r="B4" s="15"/>
      <c r="C4" s="16"/>
      <c r="D4" s="17"/>
      <c r="E4" s="18" t="s">
        <v>8</v>
      </c>
      <c r="F4" s="390"/>
      <c r="G4" s="390"/>
      <c r="H4" s="19" t="s">
        <v>9</v>
      </c>
      <c r="I4" s="20"/>
      <c r="K4" s="21" t="s">
        <v>10</v>
      </c>
      <c r="L4" s="22"/>
      <c r="M4" s="23">
        <f>M3+'Detail Data'!E34-'Detail Data'!E28</f>
        <v>0</v>
      </c>
    </row>
    <row r="5" spans="1:18" ht="17.25" customHeight="1" x14ac:dyDescent="0.2">
      <c r="A5" s="24"/>
      <c r="B5" s="25"/>
      <c r="C5" s="26" t="s">
        <v>11</v>
      </c>
      <c r="D5" s="10"/>
      <c r="E5" s="27" t="s">
        <v>12</v>
      </c>
      <c r="F5" s="28" t="s">
        <v>13</v>
      </c>
      <c r="G5" s="29" t="s">
        <v>14</v>
      </c>
      <c r="H5" s="377" t="s">
        <v>15</v>
      </c>
      <c r="I5" s="377"/>
      <c r="K5" s="388" t="s">
        <v>16</v>
      </c>
      <c r="L5" s="388"/>
      <c r="M5" s="388"/>
    </row>
    <row r="6" spans="1:18" ht="15" customHeight="1" x14ac:dyDescent="0.2">
      <c r="A6" s="30" t="s">
        <v>17</v>
      </c>
      <c r="B6" s="31"/>
      <c r="C6" s="32"/>
      <c r="D6" s="17"/>
      <c r="E6" s="33"/>
      <c r="F6" s="22"/>
      <c r="G6" s="34"/>
      <c r="H6" s="35" t="s">
        <v>18</v>
      </c>
      <c r="I6" s="36" t="e">
        <f>'Detail Data'!E23</f>
        <v>#DIV/0!</v>
      </c>
      <c r="K6" s="35" t="s">
        <v>19</v>
      </c>
      <c r="L6" s="37"/>
      <c r="M6" s="38">
        <f>'Detail Data'!E28</f>
        <v>0</v>
      </c>
    </row>
    <row r="7" spans="1:18" ht="15" customHeight="1" x14ac:dyDescent="0.2">
      <c r="A7" s="30" t="s">
        <v>20</v>
      </c>
      <c r="B7" s="31"/>
      <c r="C7" s="39"/>
      <c r="D7" s="17"/>
      <c r="E7" s="40" t="e">
        <f>C7/C6-1</f>
        <v>#DIV/0!</v>
      </c>
      <c r="F7" s="41"/>
      <c r="G7" s="42" t="e">
        <f>C7/F7</f>
        <v>#DIV/0!</v>
      </c>
      <c r="H7" s="35" t="s">
        <v>21</v>
      </c>
      <c r="I7" s="36" t="e">
        <f>AVERAGE('Detail Data'!C23,'Detail Data'!D23,'Detail Data'!E23)</f>
        <v>#DIV/0!</v>
      </c>
      <c r="K7" s="35" t="s">
        <v>22</v>
      </c>
      <c r="L7" s="37"/>
      <c r="M7" s="43" t="e">
        <f>M6/'Detail Data'!E9</f>
        <v>#DIV/0!</v>
      </c>
    </row>
    <row r="8" spans="1:18" ht="12.75" customHeight="1" x14ac:dyDescent="0.2">
      <c r="A8" s="30" t="s">
        <v>23</v>
      </c>
      <c r="C8" s="32"/>
      <c r="E8" s="40" t="e">
        <f>F8/F7-1</f>
        <v>#DIV/0!</v>
      </c>
      <c r="F8" s="41"/>
      <c r="G8" s="44" t="e">
        <f>C8/F8</f>
        <v>#DIV/0!</v>
      </c>
      <c r="H8" s="35" t="s">
        <v>24</v>
      </c>
      <c r="I8" s="36" t="e">
        <f>'Detail Data'!E25</f>
        <v>#DIV/0!</v>
      </c>
      <c r="K8" s="35" t="s">
        <v>25</v>
      </c>
      <c r="L8" s="37"/>
      <c r="M8" s="38" t="e">
        <f>'Detail Data'!E41</f>
        <v>#DIV/0!</v>
      </c>
    </row>
    <row r="9" spans="1:18" ht="15" customHeight="1" x14ac:dyDescent="0.2">
      <c r="A9" s="45" t="s">
        <v>26</v>
      </c>
      <c r="B9" s="46"/>
      <c r="C9" s="47"/>
      <c r="D9" s="17"/>
      <c r="E9" s="48" t="e">
        <f>F9/F8-1</f>
        <v>#DIV/0!</v>
      </c>
      <c r="F9" s="49"/>
      <c r="G9" s="50" t="e">
        <f>C9/F9</f>
        <v>#DIV/0!</v>
      </c>
      <c r="H9" s="35" t="s">
        <v>27</v>
      </c>
      <c r="I9" s="36" t="e">
        <f>AVERAGE('Detail Data'!C25,'Detail Data'!D25,'Detail Data'!E25)</f>
        <v>#DIV/0!</v>
      </c>
      <c r="K9" s="35" t="s">
        <v>28</v>
      </c>
      <c r="L9" s="37"/>
      <c r="M9" s="43" t="e">
        <f>M8/'Detail Data'!E9</f>
        <v>#DIV/0!</v>
      </c>
    </row>
    <row r="10" spans="1:18" ht="18.75" customHeight="1" x14ac:dyDescent="0.2">
      <c r="A10" s="387" t="s">
        <v>29</v>
      </c>
      <c r="B10" s="387"/>
      <c r="C10" s="387"/>
      <c r="D10" s="17"/>
      <c r="E10" s="377" t="s">
        <v>30</v>
      </c>
      <c r="F10" s="377"/>
      <c r="G10" s="377"/>
      <c r="H10" s="35" t="s">
        <v>31</v>
      </c>
      <c r="I10" s="36" t="e">
        <f>'Detail Data'!E26</f>
        <v>#DIV/0!</v>
      </c>
      <c r="K10" s="35" t="s">
        <v>32</v>
      </c>
      <c r="L10" s="37"/>
      <c r="M10" s="38">
        <f>'Detail Data'!E34</f>
        <v>0</v>
      </c>
    </row>
    <row r="11" spans="1:18" ht="18.75" customHeight="1" x14ac:dyDescent="0.2">
      <c r="A11" s="383"/>
      <c r="B11" s="383"/>
      <c r="C11" s="383"/>
      <c r="D11" s="17"/>
      <c r="E11" s="389" t="s">
        <v>33</v>
      </c>
      <c r="F11" s="389"/>
      <c r="G11" s="389"/>
      <c r="H11" s="51" t="s">
        <v>34</v>
      </c>
      <c r="I11" s="52" t="e">
        <f>AVERAGE('Detail Data'!C26,'Detail Data'!D26,'Detail Data'!E26)</f>
        <v>#DIV/0!</v>
      </c>
      <c r="K11" s="51" t="s">
        <v>35</v>
      </c>
      <c r="L11" s="53"/>
      <c r="M11" s="54" t="e">
        <f>M10/M8</f>
        <v>#DIV/0!</v>
      </c>
    </row>
    <row r="12" spans="1:18" ht="18.75" customHeight="1" x14ac:dyDescent="0.2">
      <c r="A12" s="383"/>
      <c r="B12" s="383"/>
      <c r="C12" s="383"/>
      <c r="D12" s="17"/>
      <c r="E12" s="389"/>
      <c r="F12" s="389"/>
      <c r="G12" s="389"/>
      <c r="H12" s="377" t="s">
        <v>36</v>
      </c>
      <c r="I12" s="377"/>
      <c r="K12" s="55" t="s">
        <v>37</v>
      </c>
      <c r="L12" s="56" t="s">
        <v>14</v>
      </c>
      <c r="M12" s="57" t="s">
        <v>38</v>
      </c>
    </row>
    <row r="13" spans="1:18" ht="18.75" customHeight="1" x14ac:dyDescent="0.2">
      <c r="A13" s="383"/>
      <c r="B13" s="383"/>
      <c r="C13" s="383"/>
      <c r="D13" s="17"/>
      <c r="E13" s="389"/>
      <c r="F13" s="389"/>
      <c r="G13" s="389"/>
      <c r="H13" s="58" t="s">
        <v>39</v>
      </c>
      <c r="I13" s="59" t="e">
        <f>('Detail Data'!E5/'Detail Data'!D5)-1</f>
        <v>#DIV/0!</v>
      </c>
      <c r="K13" s="60" t="s">
        <v>40</v>
      </c>
      <c r="L13" s="61" t="e">
        <f>'Detail Data'!E12</f>
        <v>#DIV/0!</v>
      </c>
      <c r="M13" s="62" t="e">
        <f>L13*'Detail Data'!E7</f>
        <v>#DIV/0!</v>
      </c>
    </row>
    <row r="14" spans="1:18" ht="18.75" customHeight="1" x14ac:dyDescent="0.2">
      <c r="A14" s="383"/>
      <c r="B14" s="383"/>
      <c r="C14" s="383"/>
      <c r="D14" s="17"/>
      <c r="E14" s="389"/>
      <c r="F14" s="389"/>
      <c r="G14" s="389"/>
      <c r="H14" s="58" t="s">
        <v>41</v>
      </c>
      <c r="I14" s="59" t="e">
        <f>'Detail Data'!F5/'Detail Data'!E5-1</f>
        <v>#DIV/0!</v>
      </c>
      <c r="K14" s="58" t="s">
        <v>42</v>
      </c>
      <c r="L14" s="63" t="e">
        <f>'Detail Data'!F12</f>
        <v>#DIV/0!</v>
      </c>
      <c r="M14" s="64" t="e">
        <f>L13*'Detail Data'!F7</f>
        <v>#DIV/0!</v>
      </c>
    </row>
    <row r="15" spans="1:18" ht="18.75" customHeight="1" x14ac:dyDescent="0.2">
      <c r="A15" s="377" t="s">
        <v>43</v>
      </c>
      <c r="B15" s="377"/>
      <c r="C15" s="377"/>
      <c r="D15" s="17"/>
      <c r="E15" s="377" t="s">
        <v>44</v>
      </c>
      <c r="F15" s="377"/>
      <c r="G15" s="377"/>
      <c r="H15" s="58" t="s">
        <v>45</v>
      </c>
      <c r="I15" s="59" t="e">
        <f>(('Detail Data'!G5/'Detail Data'!E5)^(1/2))-1</f>
        <v>#DIV/0!</v>
      </c>
      <c r="K15" s="65" t="s">
        <v>46</v>
      </c>
      <c r="L15" s="66" t="e">
        <f>'Detail Data'!G12</f>
        <v>#DIV/0!</v>
      </c>
      <c r="M15" s="67" t="e">
        <f>L13*'Detail Data'!G7</f>
        <v>#DIV/0!</v>
      </c>
    </row>
    <row r="16" spans="1:18" ht="18.75" customHeight="1" x14ac:dyDescent="0.2">
      <c r="A16" s="386"/>
      <c r="B16" s="386"/>
      <c r="C16" s="386"/>
      <c r="D16" s="17"/>
      <c r="E16" s="384" t="s">
        <v>47</v>
      </c>
      <c r="F16" s="384"/>
      <c r="G16" s="384"/>
      <c r="H16" s="58" t="s">
        <v>48</v>
      </c>
      <c r="I16" s="59" t="e">
        <f>'Detail Data'!E7/'Detail Data'!D7-1</f>
        <v>#DIV/0!</v>
      </c>
      <c r="K16" s="60" t="s">
        <v>49</v>
      </c>
      <c r="L16" s="68" t="e">
        <f>'Detail Data'!E11</f>
        <v>#DIV/0!</v>
      </c>
      <c r="M16" s="62" t="e">
        <f>('Detail Data'!E11*'Detail Data'!E5)/'Detail Data'!E9</f>
        <v>#DIV/0!</v>
      </c>
      <c r="N16" s="69" t="s">
        <v>50</v>
      </c>
      <c r="O16" s="70"/>
      <c r="P16" s="70"/>
      <c r="Q16" s="71"/>
      <c r="R16" s="72"/>
    </row>
    <row r="17" spans="1:18" ht="18.75" customHeight="1" x14ac:dyDescent="0.2">
      <c r="A17" s="386"/>
      <c r="B17" s="386"/>
      <c r="C17" s="386"/>
      <c r="D17" s="17"/>
      <c r="E17" s="384"/>
      <c r="F17" s="384"/>
      <c r="G17" s="384"/>
      <c r="H17" s="58" t="s">
        <v>51</v>
      </c>
      <c r="I17" s="59" t="e">
        <f>'Detail Data'!F7/'Detail Data'!E7-1</f>
        <v>#DIV/0!</v>
      </c>
      <c r="K17" s="58" t="s">
        <v>52</v>
      </c>
      <c r="L17" s="63" t="e">
        <f>'Detail Data'!F11</f>
        <v>#DIV/0!</v>
      </c>
      <c r="M17" s="64" t="e">
        <f>('Detail Data'!E11*'Detail Data'!F5)/'Detail Data'!F9</f>
        <v>#DIV/0!</v>
      </c>
      <c r="N17" s="73" t="s">
        <v>53</v>
      </c>
      <c r="O17" s="72"/>
      <c r="P17" s="72"/>
      <c r="Q17" s="74"/>
      <c r="R17" s="72"/>
    </row>
    <row r="18" spans="1:18" ht="18.75" customHeight="1" x14ac:dyDescent="0.2">
      <c r="A18" s="386"/>
      <c r="B18" s="386"/>
      <c r="C18" s="386"/>
      <c r="D18" s="17"/>
      <c r="E18" s="384"/>
      <c r="F18" s="384"/>
      <c r="G18" s="384"/>
      <c r="H18" s="65" t="s">
        <v>54</v>
      </c>
      <c r="I18" s="54" t="e">
        <f>(('Detail Data'!G7/'Detail Data'!E7)^(1/2))-1</f>
        <v>#DIV/0!</v>
      </c>
      <c r="K18" s="65" t="s">
        <v>55</v>
      </c>
      <c r="L18" s="66" t="e">
        <f>'Detail Data'!G11</f>
        <v>#DIV/0!</v>
      </c>
      <c r="M18" s="67" t="e">
        <f>('Detail Data'!E11*'Detail Data'!G5)/'Detail Data'!G9</f>
        <v>#DIV/0!</v>
      </c>
      <c r="N18" s="69" t="s">
        <v>56</v>
      </c>
      <c r="O18" s="70"/>
      <c r="P18" s="70"/>
      <c r="Q18" s="70"/>
      <c r="R18" s="71"/>
    </row>
    <row r="19" spans="1:18" ht="18.75" customHeight="1" x14ac:dyDescent="0.2">
      <c r="A19" s="387" t="s">
        <v>57</v>
      </c>
      <c r="B19" s="387"/>
      <c r="C19" s="387"/>
      <c r="D19" s="17"/>
      <c r="E19" s="388" t="s">
        <v>58</v>
      </c>
      <c r="F19" s="388"/>
      <c r="G19" s="388"/>
      <c r="H19" s="377" t="s">
        <v>59</v>
      </c>
      <c r="I19" s="377"/>
      <c r="K19" s="60" t="s">
        <v>60</v>
      </c>
      <c r="L19" s="68" t="e">
        <f>'Detail Data'!E13</f>
        <v>#DIV/0!</v>
      </c>
      <c r="M19" s="62" t="e">
        <f>(('Detail Data'!E13*'Detail Data'!E21)-'Detail Data'!E34+'Detail Data'!E28)/'Detail Data'!E9</f>
        <v>#DIV/0!</v>
      </c>
      <c r="N19" s="73" t="s">
        <v>61</v>
      </c>
      <c r="O19" s="72"/>
      <c r="P19" s="72"/>
      <c r="Q19" s="72"/>
      <c r="R19" s="74"/>
    </row>
    <row r="20" spans="1:18" ht="18.75" customHeight="1" x14ac:dyDescent="0.2">
      <c r="A20" s="383"/>
      <c r="B20" s="383"/>
      <c r="C20" s="383"/>
      <c r="D20" s="17"/>
      <c r="E20" s="379" t="s">
        <v>62</v>
      </c>
      <c r="F20" s="379"/>
      <c r="G20" s="379"/>
      <c r="H20" s="60" t="s">
        <v>63</v>
      </c>
      <c r="I20" s="75" t="e">
        <f>'Detail Data'!E35/AVERAGE('Detail Data'!E30,'Detail Data'!D30)</f>
        <v>#DIV/0!</v>
      </c>
      <c r="K20" s="58" t="s">
        <v>64</v>
      </c>
      <c r="L20" s="63" t="e">
        <f>'Detail Data'!F13</f>
        <v>#DIV/0!</v>
      </c>
      <c r="M20" s="64" t="e">
        <f>(('Detail Data'!E13*'Detail Data'!F21)+'Detail Data'!F28-'Detail Data'!F34)/'Detail Data'!F9</f>
        <v>#DIV/0!</v>
      </c>
      <c r="N20" s="73" t="s">
        <v>65</v>
      </c>
      <c r="O20" s="72"/>
      <c r="P20" s="72"/>
      <c r="Q20" s="72"/>
      <c r="R20" s="74"/>
    </row>
    <row r="21" spans="1:18" ht="18.75" customHeight="1" x14ac:dyDescent="0.2">
      <c r="A21" s="383"/>
      <c r="B21" s="383"/>
      <c r="C21" s="383"/>
      <c r="D21" s="17"/>
      <c r="E21" s="381" t="s">
        <v>66</v>
      </c>
      <c r="F21" s="381"/>
      <c r="G21" s="381"/>
      <c r="H21" s="58" t="s">
        <v>67</v>
      </c>
      <c r="I21" s="59" t="e">
        <f>'Detail Data'!E17/AVERAGE('Detail Data'!C35,'Detail Data'!D35,'Detail Data'!E35)</f>
        <v>#DIV/0!</v>
      </c>
      <c r="K21" s="65" t="s">
        <v>68</v>
      </c>
      <c r="L21" s="66" t="e">
        <f>'Detail Data'!G13</f>
        <v>#DIV/0!</v>
      </c>
      <c r="M21" s="67" t="e">
        <f>(('Detail Data'!E13*'Detail Data'!G21)+'Detail Data'!G28-'Detail Data'!G34)/'Detail Data'!G9</f>
        <v>#DIV/0!</v>
      </c>
      <c r="N21" s="76" t="s">
        <v>69</v>
      </c>
      <c r="O21" s="77"/>
      <c r="P21" s="77"/>
      <c r="Q21" s="77"/>
      <c r="R21" s="78"/>
    </row>
    <row r="22" spans="1:18" ht="18.75" customHeight="1" x14ac:dyDescent="0.2">
      <c r="A22" s="383"/>
      <c r="B22" s="383"/>
      <c r="C22" s="383"/>
      <c r="D22" s="17"/>
      <c r="E22" s="384" t="s">
        <v>70</v>
      </c>
      <c r="F22" s="384"/>
      <c r="G22" s="384"/>
      <c r="H22" s="58" t="s">
        <v>71</v>
      </c>
      <c r="I22" s="59" t="e">
        <f>'Detail Data'!E40/AVERAGE('Detail Data'!E30,'Detail Data'!D30,'Detail Data'!C30)</f>
        <v>#DIV/0!</v>
      </c>
      <c r="K22" s="60" t="s">
        <v>72</v>
      </c>
      <c r="L22" s="68" t="e">
        <f>'Detail Data'!E45</f>
        <v>#DIV/0!</v>
      </c>
      <c r="M22" s="62" t="e">
        <f>(('Detail Data'!E45*'Detail Data'!E41)+'Detail Data'!E28-'Detail Data'!E34)/'Detail Data'!E9</f>
        <v>#DIV/0!</v>
      </c>
      <c r="N22" s="69" t="s">
        <v>73</v>
      </c>
      <c r="O22" s="70"/>
      <c r="P22" s="70"/>
      <c r="Q22" s="70"/>
      <c r="R22" s="71"/>
    </row>
    <row r="23" spans="1:18" ht="18.75" customHeight="1" x14ac:dyDescent="0.2">
      <c r="A23" s="383"/>
      <c r="B23" s="383"/>
      <c r="C23" s="383"/>
      <c r="D23" s="17"/>
      <c r="E23" s="385" t="s">
        <v>74</v>
      </c>
      <c r="F23" s="385"/>
      <c r="G23" s="385"/>
      <c r="H23" s="58" t="s">
        <v>75</v>
      </c>
      <c r="I23" s="59" t="e">
        <f>'Detail Data'!E17/'Detail Data'!E35</f>
        <v>#DIV/0!</v>
      </c>
      <c r="K23" s="58" t="s">
        <v>76</v>
      </c>
      <c r="L23" s="63" t="e">
        <f>'Detail Data'!F45</f>
        <v>#DIV/0!</v>
      </c>
      <c r="M23" s="64" t="e">
        <f>(('Detail Data'!E45*'Detail Data'!F41)+'Detail Data'!F28-'Detail Data'!F34)/'Detail Data'!F9</f>
        <v>#DIV/0!</v>
      </c>
      <c r="N23" s="73" t="s">
        <v>77</v>
      </c>
      <c r="O23" s="72"/>
      <c r="P23" s="72"/>
      <c r="Q23" s="72"/>
      <c r="R23" s="74"/>
    </row>
    <row r="24" spans="1:18" ht="18.75" customHeight="1" x14ac:dyDescent="0.2">
      <c r="A24" s="377" t="s">
        <v>78</v>
      </c>
      <c r="B24" s="377"/>
      <c r="C24" s="377"/>
      <c r="D24" s="17"/>
      <c r="E24" s="379" t="s">
        <v>62</v>
      </c>
      <c r="F24" s="379"/>
      <c r="G24" s="379"/>
      <c r="H24" s="58" t="s">
        <v>79</v>
      </c>
      <c r="I24" s="59" t="e">
        <f>AVERAGE('Detail Data'!D30,'Detail Data'!E30)/AVERAGE('Detail Data'!D35,'Detail Data'!E35)</f>
        <v>#DIV/0!</v>
      </c>
      <c r="K24" s="65" t="s">
        <v>80</v>
      </c>
      <c r="L24" s="66" t="e">
        <f>'Detail Data'!G45</f>
        <v>#DIV/0!</v>
      </c>
      <c r="M24" s="67" t="e">
        <f>(('Detail Data'!E45*'Detail Data'!G41)+'Detail Data'!G28-'Detail Data'!G34)/'Detail Data'!G9</f>
        <v>#DIV/0!</v>
      </c>
      <c r="N24" s="76" t="s">
        <v>81</v>
      </c>
      <c r="O24" s="77"/>
      <c r="P24" s="77"/>
      <c r="Q24" s="77"/>
      <c r="R24" s="78"/>
    </row>
    <row r="25" spans="1:18" ht="18.75" customHeight="1" x14ac:dyDescent="0.2">
      <c r="A25" s="79" t="s">
        <v>82</v>
      </c>
      <c r="B25" s="380" t="s">
        <v>83</v>
      </c>
      <c r="C25" s="380"/>
      <c r="D25" s="17"/>
      <c r="E25" s="381" t="s">
        <v>66</v>
      </c>
      <c r="F25" s="381"/>
      <c r="G25" s="381"/>
      <c r="H25" s="58" t="s">
        <v>84</v>
      </c>
      <c r="I25" s="59" t="e">
        <f>AVERAGE('Detail Data'!C30,'Detail Data'!D30,'Detail Data'!E30)/AVERAGE('Detail Data'!C35,'Detail Data'!D35,'Detail Data'!E35)</f>
        <v>#DIV/0!</v>
      </c>
    </row>
    <row r="26" spans="1:18" ht="18.75" customHeight="1" x14ac:dyDescent="0.2">
      <c r="A26" s="79" t="s">
        <v>85</v>
      </c>
      <c r="B26" s="382" t="s">
        <v>86</v>
      </c>
      <c r="C26" s="382"/>
      <c r="D26" s="17"/>
      <c r="E26" s="381" t="s">
        <v>70</v>
      </c>
      <c r="F26" s="381"/>
      <c r="G26" s="381"/>
      <c r="H26" s="58" t="s">
        <v>87</v>
      </c>
      <c r="I26" s="59" t="e">
        <f>'Detail Data'!E41/'Detail Data'!E17</f>
        <v>#DIV/0!</v>
      </c>
    </row>
    <row r="27" spans="1:18" ht="18.75" customHeight="1" x14ac:dyDescent="0.2">
      <c r="A27" s="376" t="s">
        <v>88</v>
      </c>
      <c r="B27" s="376"/>
      <c r="C27" s="376"/>
      <c r="D27" s="376"/>
      <c r="E27" s="376"/>
      <c r="F27" s="376"/>
      <c r="G27" s="376"/>
      <c r="H27" s="65" t="s">
        <v>89</v>
      </c>
      <c r="I27" s="54" t="e">
        <f>AVERAGE('Detail Data'!E41,'Detail Data'!D41,'Detail Data'!C41)/AVERAGE('Detail Data'!E17,'Detail Data'!D17,'Detail Data'!C17)</f>
        <v>#DIV/0!</v>
      </c>
    </row>
    <row r="28" spans="1:18" ht="18.75" customHeight="1" x14ac:dyDescent="0.2">
      <c r="A28" s="80"/>
      <c r="B28" s="81"/>
      <c r="C28" s="81"/>
      <c r="D28" s="82"/>
      <c r="E28" s="81"/>
      <c r="F28" s="81"/>
      <c r="G28" s="83"/>
      <c r="H28" s="377" t="s">
        <v>90</v>
      </c>
      <c r="I28" s="377"/>
      <c r="K28" s="377" t="s">
        <v>91</v>
      </c>
      <c r="L28" s="377"/>
      <c r="M28" s="377"/>
    </row>
    <row r="29" spans="1:18" ht="18.75" customHeight="1" x14ac:dyDescent="0.2">
      <c r="A29" s="80"/>
      <c r="B29" s="81"/>
      <c r="C29" s="81"/>
      <c r="D29" s="82"/>
      <c r="E29" s="81"/>
      <c r="F29" s="81"/>
      <c r="G29" s="83"/>
      <c r="H29" s="58" t="s">
        <v>92</v>
      </c>
      <c r="I29" s="59" t="e">
        <f>'Detail Data'!E40/'Detail Data'!E5</f>
        <v>#DIV/0!</v>
      </c>
      <c r="K29" s="60" t="s">
        <v>93</v>
      </c>
      <c r="L29" s="84"/>
      <c r="M29" s="85" t="e">
        <f>'Detail Data'!E12/(1+FrontPage!I16)</f>
        <v>#DIV/0!</v>
      </c>
      <c r="N29" s="86"/>
    </row>
    <row r="30" spans="1:18" ht="18.75" customHeight="1" x14ac:dyDescent="0.2">
      <c r="A30" s="80"/>
      <c r="B30" s="81"/>
      <c r="C30" s="81"/>
      <c r="D30" s="82"/>
      <c r="E30" s="81"/>
      <c r="F30" s="81"/>
      <c r="G30" s="83"/>
      <c r="H30" s="58" t="s">
        <v>94</v>
      </c>
      <c r="I30" s="59" t="e">
        <f>AVERAGE('Detail Data'!E40,'Detail Data'!D40,'Detail Data'!C40)/AVERAGE('Detail Data'!E5,'Detail Data'!D5,'Detail Data'!C5)</f>
        <v>#DIV/0!</v>
      </c>
      <c r="K30" s="58" t="s">
        <v>95</v>
      </c>
      <c r="L30" s="37"/>
      <c r="M30" s="87" t="e">
        <f>'Detail Data'!E11/(1+FrontPage!I13)</f>
        <v>#DIV/0!</v>
      </c>
    </row>
    <row r="31" spans="1:18" ht="18.75" customHeight="1" x14ac:dyDescent="0.2">
      <c r="A31" s="80"/>
      <c r="B31" s="81"/>
      <c r="C31" s="81"/>
      <c r="D31" s="82"/>
      <c r="E31" s="81"/>
      <c r="F31" s="81"/>
      <c r="G31" s="83"/>
      <c r="H31" s="58" t="s">
        <v>96</v>
      </c>
      <c r="I31" s="59" t="e">
        <f>'Detail Data'!E40/'Detail Data'!E44</f>
        <v>#DIV/0!</v>
      </c>
      <c r="K31" s="58" t="s">
        <v>97</v>
      </c>
      <c r="M31" s="87" t="e">
        <f>'Detail Data'!E13/(('Detail Data'!E21/'Detail Data'!D21))</f>
        <v>#DIV/0!</v>
      </c>
    </row>
    <row r="32" spans="1:18" ht="17.25" customHeight="1" x14ac:dyDescent="0.2">
      <c r="A32" s="80"/>
      <c r="B32" s="81"/>
      <c r="C32" s="81"/>
      <c r="D32" s="81"/>
      <c r="E32" s="81"/>
      <c r="F32" s="81"/>
      <c r="G32" s="83"/>
      <c r="H32" s="58" t="s">
        <v>98</v>
      </c>
      <c r="I32" s="59" t="e">
        <f>AVERAGE('Detail Data'!E40,'Detail Data'!D40,'Detail Data'!C40)/AVERAGE('Detail Data'!E44,'Detail Data'!D44,'Detail Data'!C44)</f>
        <v>#DIV/0!</v>
      </c>
      <c r="K32" s="58" t="s">
        <v>99</v>
      </c>
      <c r="M32" s="87" t="e">
        <f>'Detail Data'!E45/(('Detail Data'!E41/'Detail Data'!D41))</f>
        <v>#DIV/0!</v>
      </c>
    </row>
    <row r="33" spans="1:13" ht="14.25" customHeight="1" x14ac:dyDescent="0.2">
      <c r="A33" s="80"/>
      <c r="B33" s="81"/>
      <c r="C33" s="81"/>
      <c r="D33" s="81"/>
      <c r="E33" s="81"/>
      <c r="F33" s="81"/>
      <c r="G33" s="83"/>
      <c r="H33" s="378" t="s">
        <v>100</v>
      </c>
      <c r="I33" s="378"/>
      <c r="J33" s="378"/>
      <c r="K33" s="378"/>
      <c r="L33" s="378"/>
      <c r="M33" s="378"/>
    </row>
    <row r="34" spans="1:13" ht="14.25" customHeight="1" x14ac:dyDescent="0.2">
      <c r="A34" s="80"/>
      <c r="B34" s="81"/>
      <c r="C34" s="81"/>
      <c r="D34" s="81"/>
      <c r="E34" s="81"/>
      <c r="F34" s="81"/>
      <c r="G34" s="83"/>
      <c r="H34" s="88" t="s">
        <v>101</v>
      </c>
      <c r="I34" s="89"/>
      <c r="J34" s="70"/>
      <c r="K34" s="60" t="s">
        <v>102</v>
      </c>
      <c r="L34" s="25"/>
      <c r="M34" s="90"/>
    </row>
    <row r="35" spans="1:13" ht="14.25" customHeight="1" x14ac:dyDescent="0.2">
      <c r="A35" s="80"/>
      <c r="B35" s="81"/>
      <c r="C35" s="81"/>
      <c r="D35" s="81"/>
      <c r="E35" s="81"/>
      <c r="F35" s="81"/>
      <c r="G35" s="83"/>
      <c r="H35" s="91" t="s">
        <v>103</v>
      </c>
      <c r="I35" s="92" t="e">
        <f>I34/C3</f>
        <v>#DIV/0!</v>
      </c>
      <c r="J35" s="72"/>
      <c r="K35" s="58" t="s">
        <v>104</v>
      </c>
      <c r="L35" s="93"/>
      <c r="M35" s="94"/>
    </row>
    <row r="36" spans="1:13" ht="14.25" customHeight="1" x14ac:dyDescent="0.2">
      <c r="A36" s="80"/>
      <c r="B36" s="81"/>
      <c r="C36" s="81"/>
      <c r="D36" s="81"/>
      <c r="E36" s="81"/>
      <c r="F36" s="81"/>
      <c r="G36" s="83"/>
      <c r="H36" s="91" t="s">
        <v>105</v>
      </c>
      <c r="I36" s="95"/>
      <c r="J36" s="72"/>
      <c r="K36" s="58" t="s">
        <v>106</v>
      </c>
      <c r="L36" s="93"/>
      <c r="M36" s="96" t="e">
        <f>M34/I39</f>
        <v>#DIV/0!</v>
      </c>
    </row>
    <row r="37" spans="1:13" ht="12.75" customHeight="1" x14ac:dyDescent="0.2">
      <c r="A37" s="80"/>
      <c r="B37" s="81"/>
      <c r="C37" s="81"/>
      <c r="D37" s="81"/>
      <c r="E37" s="81"/>
      <c r="F37" s="81"/>
      <c r="G37" s="83"/>
      <c r="H37" s="91" t="s">
        <v>107</v>
      </c>
      <c r="I37" s="97"/>
      <c r="J37" s="72"/>
      <c r="K37" s="58" t="s">
        <v>108</v>
      </c>
      <c r="L37" s="93"/>
      <c r="M37" s="98" t="e">
        <f>M34/I36</f>
        <v>#DIV/0!</v>
      </c>
    </row>
    <row r="38" spans="1:13" ht="12.75" customHeight="1" x14ac:dyDescent="0.2">
      <c r="A38" s="80"/>
      <c r="B38" s="81"/>
      <c r="C38" s="81"/>
      <c r="D38" s="81"/>
      <c r="E38" s="81"/>
      <c r="F38" s="81"/>
      <c r="G38" s="83"/>
      <c r="H38" s="91" t="s">
        <v>109</v>
      </c>
      <c r="I38" s="97">
        <f>'Detail Data'!E9</f>
        <v>0</v>
      </c>
      <c r="J38" s="72"/>
      <c r="K38" s="99" t="s">
        <v>110</v>
      </c>
      <c r="L38" s="93"/>
      <c r="M38" s="97"/>
    </row>
    <row r="39" spans="1:13" ht="12.75" customHeight="1" x14ac:dyDescent="0.2">
      <c r="A39" s="80"/>
      <c r="B39" s="81"/>
      <c r="C39" s="81"/>
      <c r="D39" s="81"/>
      <c r="E39" s="81"/>
      <c r="F39" s="81"/>
      <c r="G39" s="83"/>
      <c r="H39" s="58" t="s">
        <v>111</v>
      </c>
      <c r="I39" s="97"/>
      <c r="J39" s="72"/>
      <c r="K39" s="99" t="s">
        <v>112</v>
      </c>
      <c r="L39" s="93"/>
      <c r="M39" s="100" t="e">
        <f>('Detail Data'!E5*1000000)/FrontPage!M38</f>
        <v>#DIV/0!</v>
      </c>
    </row>
    <row r="40" spans="1:13" ht="13.5" customHeight="1" x14ac:dyDescent="0.2">
      <c r="A40" s="101"/>
      <c r="B40" s="102"/>
      <c r="C40" s="102"/>
      <c r="D40" s="102"/>
      <c r="E40" s="102"/>
      <c r="F40" s="102"/>
      <c r="G40" s="103"/>
      <c r="H40" s="65" t="s">
        <v>113</v>
      </c>
      <c r="I40" s="104" t="e">
        <f>I39/I38</f>
        <v>#DIV/0!</v>
      </c>
      <c r="J40" s="77"/>
      <c r="K40" s="105"/>
      <c r="L40" s="106"/>
      <c r="M40" s="107"/>
    </row>
    <row r="41" spans="1:13" ht="12.75" customHeight="1" x14ac:dyDescent="0.2">
      <c r="I41" s="108"/>
    </row>
    <row r="42" spans="1:13" ht="12" customHeight="1" x14ac:dyDescent="0.2"/>
    <row r="43" spans="1:13" ht="12" customHeight="1" x14ac:dyDescent="0.2"/>
    <row r="44" spans="1:13" ht="12" customHeight="1" x14ac:dyDescent="0.2">
      <c r="H44" t="s">
        <v>114</v>
      </c>
      <c r="I44">
        <v>10</v>
      </c>
      <c r="K44">
        <v>0</v>
      </c>
    </row>
    <row r="45" spans="1:13" ht="12" customHeight="1" x14ac:dyDescent="0.2">
      <c r="H45" t="s">
        <v>115</v>
      </c>
      <c r="I45">
        <v>9</v>
      </c>
      <c r="K45">
        <v>0</v>
      </c>
    </row>
    <row r="46" spans="1:13" ht="12" customHeight="1" x14ac:dyDescent="0.2">
      <c r="H46" t="s">
        <v>116</v>
      </c>
      <c r="I46">
        <f>5*8</f>
        <v>40</v>
      </c>
      <c r="K46">
        <v>0</v>
      </c>
    </row>
    <row r="47" spans="1:13" ht="12" customHeight="1" x14ac:dyDescent="0.2">
      <c r="H47" t="s">
        <v>117</v>
      </c>
      <c r="I47">
        <v>1</v>
      </c>
      <c r="K47">
        <v>0</v>
      </c>
    </row>
    <row r="48" spans="1:13" ht="12" customHeight="1" x14ac:dyDescent="0.2">
      <c r="H48" t="s">
        <v>118</v>
      </c>
      <c r="I48">
        <f>SUM(I44:I47)</f>
        <v>60</v>
      </c>
      <c r="K48">
        <f>SUM(K44:K47)</f>
        <v>0</v>
      </c>
    </row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</sheetData>
  <mergeCells count="35">
    <mergeCell ref="A1:G1"/>
    <mergeCell ref="H1:M1"/>
    <mergeCell ref="F2:G2"/>
    <mergeCell ref="H2:M2"/>
    <mergeCell ref="F3:G3"/>
    <mergeCell ref="F4:G4"/>
    <mergeCell ref="H5:I5"/>
    <mergeCell ref="K5:M5"/>
    <mergeCell ref="A10:C10"/>
    <mergeCell ref="E10:G10"/>
    <mergeCell ref="A11:C14"/>
    <mergeCell ref="E11:G14"/>
    <mergeCell ref="H12:I12"/>
    <mergeCell ref="A15:C15"/>
    <mergeCell ref="E15:G15"/>
    <mergeCell ref="A16:C18"/>
    <mergeCell ref="E16:G18"/>
    <mergeCell ref="A19:C19"/>
    <mergeCell ref="E19:G19"/>
    <mergeCell ref="H19:I19"/>
    <mergeCell ref="A20:C23"/>
    <mergeCell ref="E20:G20"/>
    <mergeCell ref="E21:G21"/>
    <mergeCell ref="E22:G22"/>
    <mergeCell ref="E23:G23"/>
    <mergeCell ref="A27:G27"/>
    <mergeCell ref="H28:I28"/>
    <mergeCell ref="K28:M28"/>
    <mergeCell ref="H33:M33"/>
    <mergeCell ref="A24:C24"/>
    <mergeCell ref="E24:G24"/>
    <mergeCell ref="B25:C25"/>
    <mergeCell ref="E25:G25"/>
    <mergeCell ref="B26:C26"/>
    <mergeCell ref="E26:G26"/>
  </mergeCells>
  <pageMargins left="0.7" right="0.45" top="0.5" bottom="0.5" header="0.511811023622047" footer="0.511811023622047"/>
  <pageSetup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5"/>
  <sheetViews>
    <sheetView zoomScale="175" zoomScaleNormal="175" workbookViewId="0">
      <selection activeCell="E44" sqref="E44"/>
    </sheetView>
  </sheetViews>
  <sheetFormatPr baseColWidth="10" defaultColWidth="8.6640625" defaultRowHeight="13" x14ac:dyDescent="0.15"/>
  <cols>
    <col min="1" max="1" width="22.1640625" style="93" customWidth="1"/>
    <col min="2" max="3" width="9.6640625" style="93" customWidth="1"/>
    <col min="4" max="4" width="9.5" style="93" customWidth="1"/>
    <col min="5" max="5" width="10.6640625" style="93" customWidth="1"/>
    <col min="6" max="6" width="11.6640625" style="93" customWidth="1"/>
    <col min="7" max="7" width="11" style="93" customWidth="1"/>
    <col min="8" max="8" width="11.5" style="93" customWidth="1"/>
    <col min="9" max="9" width="5" style="93" customWidth="1"/>
    <col min="10" max="10" width="15" style="93" customWidth="1"/>
    <col min="11" max="16384" width="8.6640625" style="93"/>
  </cols>
  <sheetData>
    <row r="1" spans="1:7" ht="12.75" customHeight="1" x14ac:dyDescent="0.15">
      <c r="A1" s="109"/>
      <c r="B1" s="109"/>
      <c r="C1" s="109"/>
      <c r="D1" s="109"/>
    </row>
    <row r="2" spans="1:7" ht="13.5" customHeight="1" thickBot="1" x14ac:dyDescent="0.25">
      <c r="A2" s="45" t="s">
        <v>119</v>
      </c>
      <c r="B2" s="110"/>
      <c r="C2" s="111" t="str">
        <f>(YEAR(FrontPage!$C$4)-2)&amp;"A"</f>
        <v>1898A</v>
      </c>
      <c r="D2" s="111" t="str">
        <f>YEAR(FrontPage!$C$4)-1&amp;"A"</f>
        <v>1899A</v>
      </c>
      <c r="E2" s="112" t="str">
        <f>(YEAR(FrontPage!$C$4))&amp;"F"</f>
        <v>1900F</v>
      </c>
      <c r="F2" s="112" t="str">
        <f>(YEAR(FrontPage!$C$4)+1)&amp;"F"</f>
        <v>1901F</v>
      </c>
      <c r="G2" s="112" t="str">
        <f>(YEAR(FrontPage!$C$4)+2)&amp;"F"</f>
        <v>1902F</v>
      </c>
    </row>
    <row r="3" spans="1:7" ht="12.75" customHeight="1" x14ac:dyDescent="0.15">
      <c r="A3" s="113" t="s">
        <v>120</v>
      </c>
      <c r="B3" s="114"/>
      <c r="C3" s="115">
        <f>C9*FrontPage!$C3</f>
        <v>0</v>
      </c>
      <c r="D3" s="115">
        <f>D9*FrontPage!C3</f>
        <v>0</v>
      </c>
      <c r="E3" s="116">
        <f>E9*FrontPage!C3</f>
        <v>0</v>
      </c>
      <c r="F3" s="116">
        <f>F9*FrontPage!C3</f>
        <v>0</v>
      </c>
      <c r="G3" s="117">
        <f>G9*FrontPage!C3</f>
        <v>0</v>
      </c>
    </row>
    <row r="4" spans="1:7" ht="12.75" customHeight="1" x14ac:dyDescent="0.15">
      <c r="A4" s="118" t="s">
        <v>121</v>
      </c>
      <c r="B4" s="119"/>
      <c r="C4" s="120">
        <f>C3+C34-C28</f>
        <v>0</v>
      </c>
      <c r="D4" s="120">
        <f>D3+D34-D28</f>
        <v>0</v>
      </c>
      <c r="E4" s="120">
        <f>E3+E34-E28</f>
        <v>0</v>
      </c>
      <c r="F4" s="120">
        <f>F3+F34-F28</f>
        <v>0</v>
      </c>
      <c r="G4" s="121">
        <f>G3+G34-G28</f>
        <v>0</v>
      </c>
    </row>
    <row r="5" spans="1:7" ht="12.75" customHeight="1" x14ac:dyDescent="0.15">
      <c r="A5" s="122" t="str">
        <f>CONCATENATE("Revenue (t) - Current FY")</f>
        <v>Revenue (t) - Current FY</v>
      </c>
      <c r="B5" s="123"/>
      <c r="C5" s="124"/>
      <c r="D5" s="124"/>
      <c r="E5" s="124"/>
      <c r="F5" s="124"/>
      <c r="G5" s="126"/>
    </row>
    <row r="6" spans="1:7" ht="12.75" customHeight="1" x14ac:dyDescent="0.15">
      <c r="A6" s="122" t="str">
        <f>CONCATENATE("Revenue (t-1) - Previous FY")</f>
        <v>Revenue (t-1) - Previous FY</v>
      </c>
      <c r="C6" s="124"/>
      <c r="D6" s="124">
        <f>C5</f>
        <v>0</v>
      </c>
      <c r="E6" s="125">
        <f>D5</f>
        <v>0</v>
      </c>
      <c r="F6" s="125">
        <f>E5</f>
        <v>0</v>
      </c>
      <c r="G6" s="128">
        <f>F5</f>
        <v>0</v>
      </c>
    </row>
    <row r="7" spans="1:7" ht="12.75" customHeight="1" x14ac:dyDescent="0.15">
      <c r="A7" s="122" t="str">
        <f>CONCATENATE("FD EPS (t) - Current FY")</f>
        <v>FD EPS (t) - Current FY</v>
      </c>
      <c r="B7" s="123"/>
      <c r="C7" s="129" t="e">
        <f>C17/C9</f>
        <v>#DIV/0!</v>
      </c>
      <c r="D7" s="129" t="e">
        <f>D17/D9</f>
        <v>#DIV/0!</v>
      </c>
      <c r="E7" s="129" t="e">
        <f>E17/E9</f>
        <v>#DIV/0!</v>
      </c>
      <c r="F7" s="129" t="e">
        <f>F17/F9</f>
        <v>#DIV/0!</v>
      </c>
      <c r="G7" s="129" t="e">
        <f>G17/G9</f>
        <v>#DIV/0!</v>
      </c>
    </row>
    <row r="8" spans="1:7" ht="12.75" customHeight="1" x14ac:dyDescent="0.15">
      <c r="A8" s="122" t="str">
        <f>CONCATENATE("FD EPS (t-1) - Previous FY")</f>
        <v>FD EPS (t-1) - Previous FY</v>
      </c>
      <c r="C8" s="129" t="e">
        <f>C18/C9</f>
        <v>#DIV/0!</v>
      </c>
      <c r="D8" s="129" t="e">
        <f>C7</f>
        <v>#DIV/0!</v>
      </c>
      <c r="E8" s="130" t="e">
        <f>D7</f>
        <v>#DIV/0!</v>
      </c>
      <c r="F8" s="130" t="e">
        <f t="shared" ref="F8:G8" si="0">E7</f>
        <v>#DIV/0!</v>
      </c>
      <c r="G8" s="130" t="e">
        <f t="shared" si="0"/>
        <v>#DIV/0!</v>
      </c>
    </row>
    <row r="9" spans="1:7" ht="13.5" customHeight="1" thickBot="1" x14ac:dyDescent="0.2">
      <c r="A9" s="131" t="s">
        <v>122</v>
      </c>
      <c r="B9" s="132"/>
      <c r="C9" s="133"/>
      <c r="D9" s="133">
        <f>C9</f>
        <v>0</v>
      </c>
      <c r="E9" s="135">
        <f>D9</f>
        <v>0</v>
      </c>
      <c r="F9" s="134">
        <f t="shared" ref="F9:G9" si="1">E9</f>
        <v>0</v>
      </c>
      <c r="G9" s="136">
        <f t="shared" si="1"/>
        <v>0</v>
      </c>
    </row>
    <row r="10" spans="1:7" ht="13.5" customHeight="1" thickBot="1" x14ac:dyDescent="0.2">
      <c r="A10" s="137" t="s">
        <v>123</v>
      </c>
      <c r="B10" s="138"/>
      <c r="C10" s="139" t="str">
        <f t="shared" ref="C10:G10" si="2">C2</f>
        <v>1898A</v>
      </c>
      <c r="D10" s="139" t="str">
        <f t="shared" si="2"/>
        <v>1899A</v>
      </c>
      <c r="E10" s="139" t="str">
        <f t="shared" si="2"/>
        <v>1900F</v>
      </c>
      <c r="F10" s="139" t="str">
        <f t="shared" si="2"/>
        <v>1901F</v>
      </c>
      <c r="G10" s="29" t="str">
        <f t="shared" si="2"/>
        <v>1902F</v>
      </c>
    </row>
    <row r="11" spans="1:7" ht="12.75" customHeight="1" x14ac:dyDescent="0.15">
      <c r="A11" s="140" t="s">
        <v>124</v>
      </c>
      <c r="B11" s="141"/>
      <c r="C11" s="142" t="e">
        <f>(FrontPage!$C3*C9)/C5</f>
        <v>#DIV/0!</v>
      </c>
      <c r="D11" s="142" t="e">
        <f>(FrontPage!C3*D9)/D5</f>
        <v>#DIV/0!</v>
      </c>
      <c r="E11" s="142" t="e">
        <f>E3/E5</f>
        <v>#DIV/0!</v>
      </c>
      <c r="F11" s="142" t="e">
        <f t="shared" ref="F11:G11" si="3">F3/F5</f>
        <v>#DIV/0!</v>
      </c>
      <c r="G11" s="142" t="e">
        <f t="shared" si="3"/>
        <v>#DIV/0!</v>
      </c>
    </row>
    <row r="12" spans="1:7" ht="12.75" customHeight="1" x14ac:dyDescent="0.15">
      <c r="A12" s="143" t="s">
        <v>125</v>
      </c>
      <c r="B12" s="144"/>
      <c r="C12" s="145" t="e">
        <f>FrontPage!$C3/C7</f>
        <v>#DIV/0!</v>
      </c>
      <c r="D12" s="145" t="e">
        <f>FrontPage!C3/D7</f>
        <v>#DIV/0!</v>
      </c>
      <c r="E12" s="145" t="e">
        <f>FrontPage!C3/E7</f>
        <v>#DIV/0!</v>
      </c>
      <c r="F12" s="145" t="e">
        <f>FrontPage!$C3/F7</f>
        <v>#DIV/0!</v>
      </c>
      <c r="G12" s="146" t="e">
        <f>FrontPage!$C3/G7</f>
        <v>#DIV/0!</v>
      </c>
    </row>
    <row r="13" spans="1:7" ht="12.75" customHeight="1" thickBot="1" x14ac:dyDescent="0.2">
      <c r="A13" s="147" t="s">
        <v>126</v>
      </c>
      <c r="B13" s="148"/>
      <c r="C13" s="145" t="e">
        <f>$C4/C21</f>
        <v>#DIV/0!</v>
      </c>
      <c r="D13" s="145" t="e">
        <f t="shared" ref="D13:G13" si="4">$C4/D21</f>
        <v>#DIV/0!</v>
      </c>
      <c r="E13" s="145" t="e">
        <f t="shared" si="4"/>
        <v>#DIV/0!</v>
      </c>
      <c r="F13" s="145" t="e">
        <f t="shared" si="4"/>
        <v>#DIV/0!</v>
      </c>
      <c r="G13" s="145" t="e">
        <f t="shared" si="4"/>
        <v>#DIV/0!</v>
      </c>
    </row>
    <row r="14" spans="1:7" ht="12.75" customHeight="1" thickBot="1" x14ac:dyDescent="0.2">
      <c r="A14" s="149" t="s">
        <v>127</v>
      </c>
      <c r="B14" s="150"/>
      <c r="C14" s="138" t="str">
        <f>C2</f>
        <v>1898A</v>
      </c>
      <c r="D14" s="138" t="str">
        <f>D2</f>
        <v>1899A</v>
      </c>
      <c r="E14" s="138" t="str">
        <f>E2</f>
        <v>1900F</v>
      </c>
      <c r="F14" s="138" t="str">
        <f>F2</f>
        <v>1901F</v>
      </c>
      <c r="G14" s="151" t="str">
        <f>G2</f>
        <v>1902F</v>
      </c>
    </row>
    <row r="15" spans="1:7" ht="12.75" customHeight="1" x14ac:dyDescent="0.15">
      <c r="A15" s="140" t="s">
        <v>128</v>
      </c>
      <c r="B15" s="141"/>
      <c r="C15" s="152"/>
      <c r="D15" s="152"/>
      <c r="E15" s="152"/>
      <c r="F15" s="153"/>
      <c r="G15" s="154"/>
    </row>
    <row r="16" spans="1:7" ht="12.75" customHeight="1" x14ac:dyDescent="0.15">
      <c r="A16" s="122" t="s">
        <v>129</v>
      </c>
      <c r="B16" s="155"/>
      <c r="C16" s="156"/>
      <c r="D16" s="156"/>
      <c r="E16" s="156" t="e">
        <f>E21-E38</f>
        <v>#DIV/0!</v>
      </c>
      <c r="F16" s="156" t="e">
        <f t="shared" ref="F16:G16" si="5">F21-F38</f>
        <v>#DIV/0!</v>
      </c>
      <c r="G16" s="156" t="e">
        <f t="shared" si="5"/>
        <v>#DIV/0!</v>
      </c>
    </row>
    <row r="17" spans="1:7" ht="12.75" customHeight="1" x14ac:dyDescent="0.15">
      <c r="A17" s="122" t="s">
        <v>130</v>
      </c>
      <c r="B17" s="155"/>
      <c r="C17" s="156"/>
      <c r="D17" s="156"/>
      <c r="E17" s="156"/>
      <c r="F17" s="158"/>
      <c r="G17" s="159"/>
    </row>
    <row r="18" spans="1:7" ht="13.5" customHeight="1" x14ac:dyDescent="0.15">
      <c r="A18" s="122" t="str">
        <f>CONCATENATE("Net Income (t-1) - Previous FY")</f>
        <v>Net Income (t-1) - Previous FY</v>
      </c>
      <c r="C18" s="156"/>
      <c r="D18" s="156">
        <f>C17</f>
        <v>0</v>
      </c>
      <c r="E18" s="157">
        <f>D17</f>
        <v>0</v>
      </c>
      <c r="F18" s="157">
        <f>E17</f>
        <v>0</v>
      </c>
      <c r="G18" s="157">
        <f>F17</f>
        <v>0</v>
      </c>
    </row>
    <row r="19" spans="1:7" ht="13.5" customHeight="1" x14ac:dyDescent="0.15">
      <c r="A19" s="122" t="s">
        <v>334</v>
      </c>
      <c r="C19" s="156"/>
      <c r="D19" s="156"/>
      <c r="E19" s="156">
        <f>'WACC calculation'!$C$13*'Detail Data'!E34</f>
        <v>0</v>
      </c>
      <c r="F19" s="156">
        <f>'WACC calculation'!$C$13*'Detail Data'!F34</f>
        <v>0</v>
      </c>
      <c r="G19" s="156">
        <f>'WACC calculation'!$C$13*'Detail Data'!G34</f>
        <v>0</v>
      </c>
    </row>
    <row r="20" spans="1:7" ht="13.5" customHeight="1" x14ac:dyDescent="0.15">
      <c r="A20" s="122" t="s">
        <v>131</v>
      </c>
      <c r="C20" s="156"/>
      <c r="D20" s="156"/>
      <c r="E20" s="156"/>
      <c r="F20" s="156"/>
      <c r="G20" s="156"/>
    </row>
    <row r="21" spans="1:7" ht="12" customHeight="1" thickBot="1" x14ac:dyDescent="0.2">
      <c r="A21" s="161" t="s">
        <v>132</v>
      </c>
      <c r="B21" s="162"/>
      <c r="C21" s="163">
        <f>C16+C38</f>
        <v>0</v>
      </c>
      <c r="D21" s="163">
        <f>D16+D38</f>
        <v>0</v>
      </c>
      <c r="E21" s="163"/>
      <c r="F21" s="163"/>
      <c r="G21" s="164"/>
    </row>
    <row r="22" spans="1:7" ht="12.75" customHeight="1" thickBot="1" x14ac:dyDescent="0.2">
      <c r="A22" s="149" t="s">
        <v>133</v>
      </c>
      <c r="B22" s="150"/>
      <c r="C22" s="139" t="str">
        <f>C2</f>
        <v>1898A</v>
      </c>
      <c r="D22" s="139" t="str">
        <f>D2</f>
        <v>1899A</v>
      </c>
      <c r="E22" s="139" t="str">
        <f>E2</f>
        <v>1900F</v>
      </c>
      <c r="F22" s="139" t="str">
        <f>F2</f>
        <v>1901F</v>
      </c>
      <c r="G22" s="29" t="str">
        <f>G2</f>
        <v>1902F</v>
      </c>
    </row>
    <row r="23" spans="1:7" ht="12.75" customHeight="1" x14ac:dyDescent="0.15">
      <c r="A23" s="140" t="s">
        <v>134</v>
      </c>
      <c r="B23" s="141"/>
      <c r="C23" s="165" t="e">
        <f>(C5-C15)/C5</f>
        <v>#DIV/0!</v>
      </c>
      <c r="D23" s="165" t="e">
        <f>(D5-D15)/D5</f>
        <v>#DIV/0!</v>
      </c>
      <c r="E23" s="165" t="e">
        <f>(E5-E15)/E5</f>
        <v>#DIV/0!</v>
      </c>
      <c r="F23" s="165" t="e">
        <f>(F5-F15)/F5</f>
        <v>#DIV/0!</v>
      </c>
      <c r="G23" s="166" t="e">
        <f>(G5-G15)/G5</f>
        <v>#DIV/0!</v>
      </c>
    </row>
    <row r="24" spans="1:7" ht="12.75" customHeight="1" x14ac:dyDescent="0.15">
      <c r="A24" s="147" t="s">
        <v>135</v>
      </c>
      <c r="B24" s="148"/>
      <c r="C24" s="167" t="e">
        <f>C16/C5</f>
        <v>#DIV/0!</v>
      </c>
      <c r="D24" s="167" t="e">
        <f>D16/D5</f>
        <v>#DIV/0!</v>
      </c>
      <c r="E24" s="167" t="e">
        <f>E16/E5</f>
        <v>#DIV/0!</v>
      </c>
      <c r="F24" s="167" t="e">
        <f>F16/F5</f>
        <v>#DIV/0!</v>
      </c>
      <c r="G24" s="168" t="e">
        <f>G16/G5</f>
        <v>#DIV/0!</v>
      </c>
    </row>
    <row r="25" spans="1:7" ht="12.75" customHeight="1" x14ac:dyDescent="0.15">
      <c r="A25" s="147" t="s">
        <v>136</v>
      </c>
      <c r="C25" s="167" t="e">
        <f>C17/C5</f>
        <v>#DIV/0!</v>
      </c>
      <c r="D25" s="167" t="e">
        <f>D17/D5</f>
        <v>#DIV/0!</v>
      </c>
      <c r="E25" s="167" t="e">
        <f>E17/E5</f>
        <v>#DIV/0!</v>
      </c>
      <c r="F25" s="167" t="e">
        <f>F17/F5</f>
        <v>#DIV/0!</v>
      </c>
      <c r="G25" s="168" t="e">
        <f>G17/G5</f>
        <v>#DIV/0!</v>
      </c>
    </row>
    <row r="26" spans="1:7" ht="12.75" customHeight="1" thickBot="1" x14ac:dyDescent="0.2">
      <c r="A26" s="169" t="s">
        <v>137</v>
      </c>
      <c r="B26" s="170"/>
      <c r="C26" s="171" t="e">
        <f>C21/C5</f>
        <v>#DIV/0!</v>
      </c>
      <c r="D26" s="171" t="e">
        <f>D21/D5</f>
        <v>#DIV/0!</v>
      </c>
      <c r="E26" s="171" t="e">
        <f>E21/E5</f>
        <v>#DIV/0!</v>
      </c>
      <c r="F26" s="171" t="e">
        <f>F21/F5</f>
        <v>#DIV/0!</v>
      </c>
      <c r="G26" s="172" t="e">
        <f>G21/G5</f>
        <v>#DIV/0!</v>
      </c>
    </row>
    <row r="27" spans="1:7" ht="12.75" customHeight="1" thickBot="1" x14ac:dyDescent="0.2">
      <c r="A27" s="173" t="s">
        <v>138</v>
      </c>
      <c r="B27" s="174"/>
      <c r="C27" s="139" t="str">
        <f>C2</f>
        <v>1898A</v>
      </c>
      <c r="D27" s="139" t="str">
        <f>D2</f>
        <v>1899A</v>
      </c>
      <c r="E27" s="139" t="str">
        <f>E2</f>
        <v>1900F</v>
      </c>
      <c r="F27" s="139" t="str">
        <f>F2</f>
        <v>1901F</v>
      </c>
      <c r="G27" s="29" t="str">
        <f>G2</f>
        <v>1902F</v>
      </c>
    </row>
    <row r="28" spans="1:7" ht="12.75" customHeight="1" x14ac:dyDescent="0.15">
      <c r="A28" s="140" t="s">
        <v>139</v>
      </c>
      <c r="B28" s="141"/>
      <c r="C28" s="152"/>
      <c r="D28" s="152"/>
      <c r="E28" s="152"/>
      <c r="F28" s="152"/>
      <c r="G28" s="152"/>
    </row>
    <row r="29" spans="1:7" ht="12.75" customHeight="1" x14ac:dyDescent="0.15">
      <c r="A29" s="143" t="s">
        <v>140</v>
      </c>
      <c r="B29" s="144"/>
      <c r="C29" s="175" t="e">
        <f>C28/C9</f>
        <v>#DIV/0!</v>
      </c>
      <c r="D29" s="175" t="e">
        <f>D28/D9</f>
        <v>#DIV/0!</v>
      </c>
      <c r="E29" s="175" t="e">
        <f>E28/E9</f>
        <v>#DIV/0!</v>
      </c>
      <c r="F29" s="175" t="e">
        <f>F28/F9</f>
        <v>#DIV/0!</v>
      </c>
      <c r="G29" s="176" t="e">
        <f>G28/G9</f>
        <v>#DIV/0!</v>
      </c>
    </row>
    <row r="30" spans="1:7" ht="12.75" customHeight="1" x14ac:dyDescent="0.15">
      <c r="A30" s="143" t="s">
        <v>141</v>
      </c>
      <c r="B30" s="144"/>
      <c r="C30" s="157"/>
      <c r="D30" s="157"/>
      <c r="E30" s="157"/>
      <c r="F30" s="157"/>
      <c r="G30" s="160"/>
    </row>
    <row r="31" spans="1:7" ht="12.75" customHeight="1" x14ac:dyDescent="0.15">
      <c r="A31" s="147" t="s">
        <v>142</v>
      </c>
      <c r="B31" s="148"/>
      <c r="C31" s="156"/>
      <c r="D31" s="156"/>
      <c r="E31" s="156"/>
      <c r="F31" s="157"/>
      <c r="G31" s="160"/>
    </row>
    <row r="32" spans="1:7" ht="12.75" customHeight="1" x14ac:dyDescent="0.15">
      <c r="A32" s="147" t="s">
        <v>143</v>
      </c>
      <c r="B32" s="148"/>
      <c r="C32" s="156"/>
      <c r="D32" s="156"/>
      <c r="E32" s="156"/>
      <c r="F32" s="157"/>
      <c r="G32" s="160"/>
    </row>
    <row r="33" spans="1:7" ht="12.75" customHeight="1" x14ac:dyDescent="0.15">
      <c r="A33" s="147" t="s">
        <v>144</v>
      </c>
      <c r="B33" s="148"/>
      <c r="C33" s="157">
        <f t="shared" ref="C33:G33" si="6">C31-C32</f>
        <v>0</v>
      </c>
      <c r="D33" s="157">
        <f>D31-D32</f>
        <v>0</v>
      </c>
      <c r="E33" s="157">
        <f t="shared" si="6"/>
        <v>0</v>
      </c>
      <c r="F33" s="157">
        <f t="shared" si="6"/>
        <v>0</v>
      </c>
      <c r="G33" s="160">
        <f t="shared" si="6"/>
        <v>0</v>
      </c>
    </row>
    <row r="34" spans="1:7" ht="12.75" customHeight="1" x14ac:dyDescent="0.15">
      <c r="A34" s="147" t="s">
        <v>145</v>
      </c>
      <c r="C34" s="156"/>
      <c r="D34" s="156"/>
      <c r="E34" s="157"/>
      <c r="F34" s="157"/>
      <c r="G34" s="160"/>
    </row>
    <row r="35" spans="1:7" ht="12.75" customHeight="1" thickBot="1" x14ac:dyDescent="0.2">
      <c r="A35" s="169" t="s">
        <v>146</v>
      </c>
      <c r="B35" s="106"/>
      <c r="C35" s="178"/>
      <c r="D35" s="178"/>
      <c r="E35" s="163"/>
      <c r="F35" s="163"/>
      <c r="G35" s="164"/>
    </row>
    <row r="36" spans="1:7" ht="12.75" customHeight="1" thickBot="1" x14ac:dyDescent="0.2">
      <c r="A36" s="173" t="s">
        <v>147</v>
      </c>
      <c r="B36" s="174"/>
      <c r="C36" s="139" t="str">
        <f>C2</f>
        <v>1898A</v>
      </c>
      <c r="D36" s="139" t="str">
        <f>D2</f>
        <v>1899A</v>
      </c>
      <c r="E36" s="139" t="str">
        <f>E2</f>
        <v>1900F</v>
      </c>
      <c r="F36" s="139" t="str">
        <f>F2</f>
        <v>1901F</v>
      </c>
      <c r="G36" s="29" t="str">
        <f>G2</f>
        <v>1902F</v>
      </c>
    </row>
    <row r="37" spans="1:7" x14ac:dyDescent="0.15">
      <c r="A37" s="93" t="s">
        <v>148</v>
      </c>
      <c r="C37" s="156" t="e">
        <f>C16*(1-C20/C17)</f>
        <v>#DIV/0!</v>
      </c>
      <c r="D37" s="156" t="e">
        <f>D16*(1-D20/D17)</f>
        <v>#DIV/0!</v>
      </c>
      <c r="E37" s="156" t="e">
        <f t="shared" ref="E37:G37" si="7">E16*(1-E20/E17)</f>
        <v>#DIV/0!</v>
      </c>
      <c r="F37" s="156" t="e">
        <f t="shared" si="7"/>
        <v>#DIV/0!</v>
      </c>
      <c r="G37" s="156" t="e">
        <f t="shared" si="7"/>
        <v>#DIV/0!</v>
      </c>
    </row>
    <row r="38" spans="1:7" ht="12.75" customHeight="1" x14ac:dyDescent="0.15">
      <c r="A38" s="147" t="s">
        <v>149</v>
      </c>
      <c r="B38" s="148"/>
      <c r="C38" s="156"/>
      <c r="D38" s="156"/>
      <c r="E38" s="156" t="e">
        <f>D38/D40*E40</f>
        <v>#DIV/0!</v>
      </c>
      <c r="F38" s="157" t="e">
        <f>E38/E40*F40</f>
        <v>#DIV/0!</v>
      </c>
      <c r="G38" s="157" t="e">
        <f>F38/F40*G40</f>
        <v>#DIV/0!</v>
      </c>
    </row>
    <row r="39" spans="1:7" ht="12.75" customHeight="1" x14ac:dyDescent="0.15">
      <c r="A39" s="147" t="s">
        <v>150</v>
      </c>
      <c r="C39" s="156"/>
      <c r="D39" s="156">
        <f>D33-C33</f>
        <v>0</v>
      </c>
      <c r="E39" s="156">
        <f t="shared" ref="E39:G39" si="8">E33-D33</f>
        <v>0</v>
      </c>
      <c r="F39" s="157">
        <f t="shared" si="8"/>
        <v>0</v>
      </c>
      <c r="G39" s="157">
        <f t="shared" si="8"/>
        <v>0</v>
      </c>
    </row>
    <row r="40" spans="1:7" ht="12.75" customHeight="1" x14ac:dyDescent="0.15">
      <c r="A40" s="147" t="s">
        <v>151</v>
      </c>
      <c r="B40" s="148"/>
      <c r="C40" s="156"/>
      <c r="D40" s="156"/>
      <c r="E40" s="156"/>
      <c r="F40" s="157"/>
      <c r="G40" s="160"/>
    </row>
    <row r="41" spans="1:7" ht="12.75" customHeight="1" x14ac:dyDescent="0.15">
      <c r="A41" s="147" t="s">
        <v>152</v>
      </c>
      <c r="B41" s="147" t="s">
        <v>332</v>
      </c>
      <c r="D41" s="156" t="e">
        <f>D37+D38-D39-D40</f>
        <v>#DIV/0!</v>
      </c>
      <c r="E41" s="156" t="e">
        <f t="shared" ref="E41:G41" si="9">E37+E38-E39-E40</f>
        <v>#DIV/0!</v>
      </c>
      <c r="F41" s="156" t="e">
        <f t="shared" si="9"/>
        <v>#DIV/0!</v>
      </c>
      <c r="G41" s="156" t="e">
        <f t="shared" si="9"/>
        <v>#DIV/0!</v>
      </c>
    </row>
    <row r="42" spans="1:7" ht="12.75" customHeight="1" x14ac:dyDescent="0.15">
      <c r="A42" s="147" t="s">
        <v>331</v>
      </c>
      <c r="B42" s="147" t="s">
        <v>333</v>
      </c>
      <c r="D42" s="156" t="e">
        <f>D41-D19*(1-'DCF 1-Pager'!D25)+D34-C34</f>
        <v>#DIV/0!</v>
      </c>
      <c r="E42" s="156" t="e">
        <f>E41-E19*(1-'DCF 1-Pager'!E25)+E34-D34</f>
        <v>#DIV/0!</v>
      </c>
      <c r="F42" s="156" t="e">
        <f>F41-F19*(1-'DCF 1-Pager'!F25)+F34-E34</f>
        <v>#DIV/0!</v>
      </c>
      <c r="G42" s="156" t="e">
        <f>G41-G19*(1-'DCF 1-Pager'!G25)+G34-F34</f>
        <v>#DIV/0!</v>
      </c>
    </row>
    <row r="43" spans="1:7" ht="12.75" customHeight="1" x14ac:dyDescent="0.15"/>
    <row r="44" spans="1:7" ht="12.75" customHeight="1" x14ac:dyDescent="0.15">
      <c r="A44" s="93" t="s">
        <v>345</v>
      </c>
      <c r="E44" s="93" t="e">
        <f>E41+E40-E19*(1-'DCF 1-Pager'!E25)</f>
        <v>#DIV/0!</v>
      </c>
      <c r="F44" s="93" t="e">
        <f>F41+F40-F19*(1-'DCF 1-Pager'!F25)</f>
        <v>#DIV/0!</v>
      </c>
      <c r="G44" s="93" t="e">
        <f>G41+G40-G19*(1-'DCF 1-Pager'!G25)</f>
        <v>#DIV/0!</v>
      </c>
    </row>
    <row r="45" spans="1:7" ht="12.75" customHeight="1" x14ac:dyDescent="0.15">
      <c r="A45" s="93" t="s">
        <v>346</v>
      </c>
      <c r="D45" s="93" t="e">
        <f>D4/D41</f>
        <v>#DIV/0!</v>
      </c>
      <c r="E45" s="93" t="e">
        <f>E4/E41</f>
        <v>#DIV/0!</v>
      </c>
      <c r="F45" s="93" t="e">
        <f>F4/F41</f>
        <v>#DIV/0!</v>
      </c>
      <c r="G45" s="93" t="e">
        <f>G4/G41</f>
        <v>#DIV/0!</v>
      </c>
    </row>
    <row r="46" spans="1:7" ht="12.75" customHeight="1" x14ac:dyDescent="0.15"/>
    <row r="47" spans="1:7" ht="12.75" customHeight="1" x14ac:dyDescent="0.15"/>
    <row r="48" spans="1:7" ht="12.75" customHeight="1" x14ac:dyDescent="0.15"/>
    <row r="49" spans="1:7" ht="12.75" customHeight="1" x14ac:dyDescent="0.15"/>
    <row r="50" spans="1:7" ht="12.75" customHeight="1" x14ac:dyDescent="0.15"/>
    <row r="51" spans="1:7" ht="12.75" customHeight="1" x14ac:dyDescent="0.15"/>
    <row r="52" spans="1:7" ht="12.75" customHeight="1" x14ac:dyDescent="0.15"/>
    <row r="53" spans="1:7" ht="12.75" customHeight="1" x14ac:dyDescent="0.15"/>
    <row r="54" spans="1:7" ht="12.75" customHeight="1" x14ac:dyDescent="0.15"/>
    <row r="55" spans="1:7" ht="12.75" customHeight="1" x14ac:dyDescent="0.15"/>
    <row r="56" spans="1:7" ht="12.75" customHeight="1" x14ac:dyDescent="0.15">
      <c r="D56" s="177"/>
      <c r="F56" s="148"/>
      <c r="G56" s="179"/>
    </row>
    <row r="57" spans="1:7" ht="12.75" customHeight="1" x14ac:dyDescent="0.15">
      <c r="D57" s="177"/>
      <c r="F57" s="148"/>
      <c r="G57" s="180"/>
    </row>
    <row r="58" spans="1:7" ht="12.75" customHeight="1" x14ac:dyDescent="0.15">
      <c r="D58" s="177"/>
      <c r="F58" s="148"/>
      <c r="G58" s="181"/>
    </row>
    <row r="59" spans="1:7" ht="12.75" customHeight="1" x14ac:dyDescent="0.15">
      <c r="D59" s="177"/>
      <c r="F59" s="148"/>
      <c r="G59" s="182"/>
    </row>
    <row r="60" spans="1:7" ht="12.75" customHeight="1" x14ac:dyDescent="0.15">
      <c r="D60" s="177"/>
      <c r="F60" s="148"/>
      <c r="G60" s="182"/>
    </row>
    <row r="61" spans="1:7" ht="12.75" customHeight="1" x14ac:dyDescent="0.15">
      <c r="D61" s="177"/>
      <c r="F61" s="148"/>
      <c r="G61" s="182"/>
    </row>
    <row r="62" spans="1:7" ht="12.75" customHeight="1" x14ac:dyDescent="0.15">
      <c r="D62" s="183"/>
      <c r="F62" s="148"/>
      <c r="G62" s="182"/>
    </row>
    <row r="63" spans="1:7" ht="12.75" customHeight="1" x14ac:dyDescent="0.15"/>
    <row r="64" spans="1:7" ht="12.75" customHeight="1" x14ac:dyDescent="0.15">
      <c r="A64" s="184"/>
    </row>
    <row r="65" spans="1:1" ht="12.75" customHeight="1" x14ac:dyDescent="0.15">
      <c r="A65" s="184"/>
    </row>
    <row r="66" spans="1:1" ht="12.75" customHeight="1" x14ac:dyDescent="0.15">
      <c r="A66" s="184"/>
    </row>
    <row r="67" spans="1:1" ht="12.75" customHeight="1" x14ac:dyDescent="0.15"/>
    <row r="68" spans="1:1" ht="12.75" customHeight="1" x14ac:dyDescent="0.15"/>
    <row r="69" spans="1:1" ht="12.75" customHeight="1" x14ac:dyDescent="0.15"/>
    <row r="70" spans="1:1" ht="12.75" customHeight="1" x14ac:dyDescent="0.15"/>
    <row r="71" spans="1:1" ht="12.75" customHeight="1" x14ac:dyDescent="0.15"/>
    <row r="72" spans="1:1" ht="12.75" customHeight="1" x14ac:dyDescent="0.15"/>
    <row r="73" spans="1:1" ht="12.75" customHeight="1" x14ac:dyDescent="0.15"/>
    <row r="74" spans="1:1" ht="12" customHeight="1" x14ac:dyDescent="0.15"/>
    <row r="75" spans="1:1" ht="12" customHeight="1" x14ac:dyDescent="0.15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240A-A520-4081-981A-B596F7626908}">
  <sheetPr>
    <tabColor theme="6"/>
  </sheetPr>
  <dimension ref="B1:Q156"/>
  <sheetViews>
    <sheetView topLeftCell="A24" zoomScaleNormal="100" workbookViewId="0">
      <selection activeCell="B14" sqref="B14"/>
    </sheetView>
  </sheetViews>
  <sheetFormatPr baseColWidth="10" defaultColWidth="8" defaultRowHeight="15" x14ac:dyDescent="0.2"/>
  <cols>
    <col min="1" max="1" width="1.1640625" style="197" customWidth="1"/>
    <col min="2" max="2" width="47.6640625" style="197" customWidth="1"/>
    <col min="3" max="3" width="23.83203125" style="197" customWidth="1"/>
    <col min="4" max="9" width="11.1640625" style="197" customWidth="1"/>
    <col min="10" max="10" width="1.5" style="197" customWidth="1"/>
    <col min="11" max="11" width="10.6640625" style="197" bestFit="1" customWidth="1"/>
    <col min="12" max="16" width="8.1640625" style="197" customWidth="1"/>
    <col min="17" max="16384" width="8" style="197"/>
  </cols>
  <sheetData>
    <row r="1" spans="2:16" ht="16" thickBot="1" x14ac:dyDescent="0.25"/>
    <row r="2" spans="2:16" ht="16" thickBot="1" x14ac:dyDescent="0.25">
      <c r="B2" s="198" t="s">
        <v>154</v>
      </c>
      <c r="C2" s="199"/>
      <c r="D2" s="199"/>
      <c r="E2" s="199"/>
      <c r="F2" s="199"/>
      <c r="G2" s="199"/>
      <c r="H2" s="199"/>
      <c r="I2" s="199"/>
    </row>
    <row r="3" spans="2:16" x14ac:dyDescent="0.2">
      <c r="B3" s="200" t="s">
        <v>155</v>
      </c>
    </row>
    <row r="4" spans="2:16" x14ac:dyDescent="0.2">
      <c r="B4" s="197" t="s">
        <v>156</v>
      </c>
      <c r="D4" s="197">
        <f>FrontPage!A1</f>
        <v>0</v>
      </c>
    </row>
    <row r="5" spans="2:16" x14ac:dyDescent="0.2">
      <c r="B5" s="197" t="s">
        <v>157</v>
      </c>
      <c r="D5" s="197">
        <f>FrontPage!C2</f>
        <v>0</v>
      </c>
    </row>
    <row r="6" spans="2:16" ht="15" customHeight="1" x14ac:dyDescent="0.2">
      <c r="B6" s="197" t="s">
        <v>158</v>
      </c>
      <c r="D6" s="201">
        <v>46022</v>
      </c>
      <c r="F6" s="197" t="s">
        <v>159</v>
      </c>
      <c r="H6" s="202" t="e">
        <f>'WACC calculation'!C16</f>
        <v>#DIV/0!</v>
      </c>
    </row>
    <row r="7" spans="2:16" x14ac:dyDescent="0.2">
      <c r="B7" s="197" t="s">
        <v>160</v>
      </c>
      <c r="D7" s="203">
        <f>EOMONTH(D6,12)</f>
        <v>46387</v>
      </c>
      <c r="F7" s="197" t="s">
        <v>161</v>
      </c>
      <c r="H7" s="204">
        <f>FrontPage!C3</f>
        <v>0</v>
      </c>
    </row>
    <row r="8" spans="2:16" x14ac:dyDescent="0.2">
      <c r="B8" s="197" t="s">
        <v>162</v>
      </c>
      <c r="D8" s="201">
        <v>46203</v>
      </c>
      <c r="F8" s="197" t="s">
        <v>163</v>
      </c>
      <c r="H8" s="205">
        <f>D9</f>
        <v>0</v>
      </c>
      <c r="J8" s="206"/>
    </row>
    <row r="9" spans="2:16" x14ac:dyDescent="0.2">
      <c r="B9" s="197" t="s">
        <v>164</v>
      </c>
      <c r="D9" s="201">
        <f>FrontPage!C4</f>
        <v>0</v>
      </c>
      <c r="F9" s="197" t="s">
        <v>165</v>
      </c>
      <c r="H9" s="207">
        <v>0</v>
      </c>
      <c r="I9" s="206"/>
      <c r="J9" s="206"/>
    </row>
    <row r="10" spans="2:16" x14ac:dyDescent="0.2">
      <c r="B10" s="197" t="s">
        <v>166</v>
      </c>
      <c r="D10" s="208">
        <f>YEARFRAC(D9,D7)</f>
        <v>127.00277777777778</v>
      </c>
    </row>
    <row r="11" spans="2:16" ht="16" thickBot="1" x14ac:dyDescent="0.25">
      <c r="D11" s="209"/>
    </row>
    <row r="12" spans="2:16" x14ac:dyDescent="0.2">
      <c r="B12" s="375" t="s">
        <v>342</v>
      </c>
      <c r="C12" s="332"/>
      <c r="D12" s="333"/>
      <c r="E12" s="288"/>
      <c r="F12" s="332"/>
      <c r="G12" s="332"/>
      <c r="H12" s="332"/>
      <c r="I12" s="332"/>
      <c r="J12" s="288"/>
      <c r="K12" s="288"/>
      <c r="L12" s="288"/>
      <c r="M12" s="288"/>
      <c r="N12" s="288"/>
      <c r="O12" s="288"/>
      <c r="P12" s="290"/>
    </row>
    <row r="13" spans="2:16" x14ac:dyDescent="0.2">
      <c r="B13" s="291" t="s">
        <v>167</v>
      </c>
      <c r="P13" s="306"/>
    </row>
    <row r="14" spans="2:16" ht="17.25" customHeight="1" x14ac:dyDescent="0.35">
      <c r="B14" s="296"/>
      <c r="C14" s="212"/>
      <c r="D14" s="212" t="s">
        <v>168</v>
      </c>
      <c r="E14" s="396" t="s">
        <v>169</v>
      </c>
      <c r="F14" s="396"/>
      <c r="G14" s="396"/>
      <c r="H14" s="212"/>
      <c r="I14" s="212"/>
      <c r="P14" s="306"/>
    </row>
    <row r="15" spans="2:16" x14ac:dyDescent="0.2">
      <c r="B15" s="334" t="s">
        <v>170</v>
      </c>
      <c r="C15" s="335"/>
      <c r="D15" s="213" t="str">
        <f>'Detail Data'!D2</f>
        <v>1899A</v>
      </c>
      <c r="E15" s="213" t="str">
        <f>'Detail Data'!E2</f>
        <v>1900F</v>
      </c>
      <c r="F15" s="213" t="str">
        <f>'Detail Data'!F2</f>
        <v>1901F</v>
      </c>
      <c r="G15" s="213" t="str">
        <f>'Detail Data'!G2</f>
        <v>1902F</v>
      </c>
      <c r="H15" s="214"/>
      <c r="I15" s="214"/>
      <c r="P15" s="306"/>
    </row>
    <row r="16" spans="2:16" x14ac:dyDescent="0.2">
      <c r="B16" s="334"/>
      <c r="D16" s="215"/>
      <c r="E16" s="336"/>
      <c r="F16" s="336"/>
      <c r="G16" s="336"/>
      <c r="H16" s="336"/>
      <c r="I16" s="336"/>
      <c r="P16" s="306"/>
    </row>
    <row r="17" spans="2:16" x14ac:dyDescent="0.2">
      <c r="B17" s="296" t="s">
        <v>171</v>
      </c>
      <c r="C17" s="313"/>
      <c r="D17" s="216">
        <f>'Detail Data'!D5</f>
        <v>0</v>
      </c>
      <c r="E17" s="313">
        <f>'Detail Data'!E5</f>
        <v>0</v>
      </c>
      <c r="F17" s="313">
        <f>'Detail Data'!F5</f>
        <v>0</v>
      </c>
      <c r="G17" s="313">
        <f>'Detail Data'!G5</f>
        <v>0</v>
      </c>
      <c r="H17" s="313"/>
      <c r="I17" s="313"/>
      <c r="P17" s="306"/>
    </row>
    <row r="18" spans="2:16" x14ac:dyDescent="0.2">
      <c r="B18" s="337" t="s">
        <v>172</v>
      </c>
      <c r="D18" s="217"/>
      <c r="E18" s="338" t="e">
        <f>E17/D17-1</f>
        <v>#DIV/0!</v>
      </c>
      <c r="F18" s="338" t="e">
        <f t="shared" ref="F18:G18" si="0">F17/E17-1</f>
        <v>#DIV/0!</v>
      </c>
      <c r="G18" s="338" t="e">
        <f t="shared" si="0"/>
        <v>#DIV/0!</v>
      </c>
      <c r="H18" s="308"/>
      <c r="I18" s="308"/>
      <c r="K18" s="308"/>
      <c r="P18" s="306"/>
    </row>
    <row r="19" spans="2:16" x14ac:dyDescent="0.2">
      <c r="B19" s="296" t="s">
        <v>132</v>
      </c>
      <c r="C19" s="313"/>
      <c r="D19" s="216">
        <f>'Detail Data'!D21</f>
        <v>0</v>
      </c>
      <c r="E19" s="313">
        <f>'Detail Data'!E21</f>
        <v>0</v>
      </c>
      <c r="F19" s="313">
        <f>'Detail Data'!F21</f>
        <v>0</v>
      </c>
      <c r="G19" s="313">
        <f>'Detail Data'!G21</f>
        <v>0</v>
      </c>
      <c r="H19" s="313"/>
      <c r="I19" s="313"/>
      <c r="P19" s="306"/>
    </row>
    <row r="20" spans="2:16" x14ac:dyDescent="0.2">
      <c r="B20" s="337" t="s">
        <v>173</v>
      </c>
      <c r="D20" s="218" t="e">
        <f>D19/D17</f>
        <v>#DIV/0!</v>
      </c>
      <c r="E20" s="218" t="e">
        <f t="shared" ref="E20:G20" si="1">E19/E17</f>
        <v>#DIV/0!</v>
      </c>
      <c r="F20" s="218" t="e">
        <f t="shared" si="1"/>
        <v>#DIV/0!</v>
      </c>
      <c r="G20" s="218" t="e">
        <f t="shared" si="1"/>
        <v>#DIV/0!</v>
      </c>
      <c r="H20" s="308"/>
      <c r="I20" s="308"/>
      <c r="P20" s="306"/>
    </row>
    <row r="21" spans="2:16" x14ac:dyDescent="0.2">
      <c r="B21" s="296" t="s">
        <v>174</v>
      </c>
      <c r="D21" s="216">
        <f>'Detail Data'!D16</f>
        <v>0</v>
      </c>
      <c r="E21" s="313" t="e">
        <f>'Detail Data'!E16</f>
        <v>#DIV/0!</v>
      </c>
      <c r="F21" s="313" t="e">
        <f>'Detail Data'!F16</f>
        <v>#DIV/0!</v>
      </c>
      <c r="G21" s="313" t="e">
        <f>'Detail Data'!G16</f>
        <v>#DIV/0!</v>
      </c>
      <c r="H21" s="313"/>
      <c r="I21" s="313"/>
      <c r="P21" s="306"/>
    </row>
    <row r="22" spans="2:16" x14ac:dyDescent="0.2">
      <c r="B22" s="337" t="s">
        <v>173</v>
      </c>
      <c r="D22" s="218" t="e">
        <f>D21/D17</f>
        <v>#DIV/0!</v>
      </c>
      <c r="E22" s="218" t="e">
        <f t="shared" ref="E22:G22" si="2">E21/E17</f>
        <v>#DIV/0!</v>
      </c>
      <c r="F22" s="218" t="e">
        <f t="shared" si="2"/>
        <v>#DIV/0!</v>
      </c>
      <c r="G22" s="218" t="e">
        <f t="shared" si="2"/>
        <v>#DIV/0!</v>
      </c>
      <c r="H22" s="308"/>
      <c r="I22" s="308"/>
      <c r="P22" s="306"/>
    </row>
    <row r="23" spans="2:16" x14ac:dyDescent="0.2">
      <c r="B23" s="337"/>
      <c r="D23" s="219"/>
      <c r="E23" s="339"/>
      <c r="F23" s="339"/>
      <c r="G23" s="339"/>
      <c r="H23" s="339"/>
      <c r="I23" s="339"/>
      <c r="P23" s="306"/>
    </row>
    <row r="24" spans="2:16" ht="15" customHeight="1" x14ac:dyDescent="0.2">
      <c r="B24" s="296" t="s">
        <v>175</v>
      </c>
      <c r="C24" s="313"/>
      <c r="D24" s="220" t="e">
        <f>D25*D21</f>
        <v>#DIV/0!</v>
      </c>
      <c r="E24" s="313" t="e">
        <f>E25*E21</f>
        <v>#DIV/0!</v>
      </c>
      <c r="F24" s="313" t="e">
        <f t="shared" ref="F24:G24" si="3">F25*F21</f>
        <v>#DIV/0!</v>
      </c>
      <c r="G24" s="313" t="e">
        <f t="shared" si="3"/>
        <v>#DIV/0!</v>
      </c>
      <c r="H24" s="313"/>
      <c r="I24" s="313"/>
      <c r="P24" s="306"/>
    </row>
    <row r="25" spans="2:16" ht="15" customHeight="1" x14ac:dyDescent="0.2">
      <c r="B25" s="337" t="s">
        <v>176</v>
      </c>
      <c r="D25" s="221" t="e">
        <f>'Detail Data'!D20/'Detail Data'!D17</f>
        <v>#DIV/0!</v>
      </c>
      <c r="E25" s="221" t="e">
        <f>'Detail Data'!E20/'Detail Data'!E17</f>
        <v>#DIV/0!</v>
      </c>
      <c r="F25" s="221" t="e">
        <f>'Detail Data'!F20/'Detail Data'!F17</f>
        <v>#DIV/0!</v>
      </c>
      <c r="G25" s="221" t="e">
        <f>'Detail Data'!G20/'Detail Data'!G17</f>
        <v>#DIV/0!</v>
      </c>
      <c r="H25" s="221"/>
      <c r="I25" s="221"/>
      <c r="P25" s="306"/>
    </row>
    <row r="26" spans="2:16" ht="15" customHeight="1" x14ac:dyDescent="0.2">
      <c r="B26" s="293" t="s">
        <v>177</v>
      </c>
      <c r="C26" s="222"/>
      <c r="D26" s="223" t="e">
        <f t="shared" ref="D26:G26" si="4">D21-D24</f>
        <v>#DIV/0!</v>
      </c>
      <c r="E26" s="223" t="e">
        <f t="shared" si="4"/>
        <v>#DIV/0!</v>
      </c>
      <c r="F26" s="223" t="e">
        <f t="shared" si="4"/>
        <v>#DIV/0!</v>
      </c>
      <c r="G26" s="223" t="e">
        <f t="shared" si="4"/>
        <v>#DIV/0!</v>
      </c>
      <c r="H26" s="223"/>
      <c r="I26" s="223"/>
      <c r="P26" s="306"/>
    </row>
    <row r="27" spans="2:16" x14ac:dyDescent="0.2">
      <c r="B27" s="296"/>
      <c r="D27" s="220"/>
      <c r="E27" s="313"/>
      <c r="F27" s="313"/>
      <c r="G27" s="313"/>
      <c r="H27" s="313"/>
      <c r="I27" s="313"/>
      <c r="P27" s="306"/>
    </row>
    <row r="28" spans="2:16" ht="15" customHeight="1" x14ac:dyDescent="0.2">
      <c r="B28" s="296" t="s">
        <v>178</v>
      </c>
      <c r="D28" s="313">
        <f>D19-D21</f>
        <v>0</v>
      </c>
      <c r="E28" s="313" t="e">
        <f>E19-E21</f>
        <v>#DIV/0!</v>
      </c>
      <c r="F28" s="313" t="e">
        <f t="shared" ref="F28:G28" si="5">F19-F21</f>
        <v>#DIV/0!</v>
      </c>
      <c r="G28" s="313" t="e">
        <f t="shared" si="5"/>
        <v>#DIV/0!</v>
      </c>
      <c r="H28" s="313"/>
      <c r="I28" s="313"/>
      <c r="M28" s="317"/>
      <c r="P28" s="306"/>
    </row>
    <row r="29" spans="2:16" ht="15" customHeight="1" x14ac:dyDescent="0.2">
      <c r="B29" s="296" t="s">
        <v>179</v>
      </c>
      <c r="D29" s="224">
        <f>C36-D36</f>
        <v>0</v>
      </c>
      <c r="E29" s="224">
        <f t="shared" ref="E29:G29" si="6">D36-E36</f>
        <v>0</v>
      </c>
      <c r="F29" s="224">
        <f t="shared" si="6"/>
        <v>0</v>
      </c>
      <c r="G29" s="224">
        <f t="shared" si="6"/>
        <v>0</v>
      </c>
      <c r="H29" s="224"/>
      <c r="I29" s="224"/>
      <c r="M29" s="225"/>
      <c r="P29" s="306"/>
    </row>
    <row r="30" spans="2:16" ht="15" customHeight="1" x14ac:dyDescent="0.2">
      <c r="B30" s="296" t="s">
        <v>180</v>
      </c>
      <c r="D30" s="216">
        <f>-'Detail Data'!D40</f>
        <v>0</v>
      </c>
      <c r="E30" s="216">
        <f>-'Detail Data'!E40</f>
        <v>0</v>
      </c>
      <c r="F30" s="216">
        <f>-'Detail Data'!F40</f>
        <v>0</v>
      </c>
      <c r="G30" s="216">
        <f>-'Detail Data'!G40</f>
        <v>0</v>
      </c>
      <c r="H30" s="340"/>
      <c r="I30" s="340"/>
      <c r="M30" s="225"/>
      <c r="P30" s="306"/>
    </row>
    <row r="31" spans="2:16" ht="15" customHeight="1" x14ac:dyDescent="0.2">
      <c r="B31" s="337" t="s">
        <v>181</v>
      </c>
      <c r="D31" s="226" t="e">
        <f>FrontPage!I30</f>
        <v>#DIV/0!</v>
      </c>
      <c r="E31" s="308" t="e">
        <f>D31</f>
        <v>#DIV/0!</v>
      </c>
      <c r="F31" s="308" t="e">
        <f t="shared" ref="F31:G31" si="7">E31</f>
        <v>#DIV/0!</v>
      </c>
      <c r="G31" s="308" t="e">
        <f t="shared" si="7"/>
        <v>#DIV/0!</v>
      </c>
      <c r="H31" s="308"/>
      <c r="I31" s="308"/>
      <c r="M31" s="225"/>
      <c r="P31" s="306"/>
    </row>
    <row r="32" spans="2:16" x14ac:dyDescent="0.2">
      <c r="B32" s="296"/>
      <c r="D32" s="341"/>
      <c r="E32" s="342"/>
      <c r="F32" s="342"/>
      <c r="G32" s="342"/>
      <c r="H32" s="342"/>
      <c r="I32" s="342"/>
      <c r="M32" s="225"/>
      <c r="P32" s="306"/>
    </row>
    <row r="33" spans="2:16" x14ac:dyDescent="0.2">
      <c r="B33" s="343" t="s">
        <v>335</v>
      </c>
      <c r="D33" s="341"/>
      <c r="E33" s="342"/>
      <c r="F33" s="342"/>
      <c r="G33" s="342"/>
      <c r="H33" s="342"/>
      <c r="I33" s="342"/>
      <c r="M33" s="225"/>
      <c r="P33" s="306"/>
    </row>
    <row r="34" spans="2:16" x14ac:dyDescent="0.2">
      <c r="B34" s="293" t="s">
        <v>182</v>
      </c>
      <c r="C34" s="222"/>
      <c r="D34" s="304"/>
      <c r="E34" s="304"/>
      <c r="F34" s="304"/>
      <c r="G34" s="304"/>
      <c r="H34" s="304"/>
      <c r="I34" s="304"/>
      <c r="M34" s="304"/>
      <c r="P34" s="306"/>
    </row>
    <row r="35" spans="2:16" x14ac:dyDescent="0.2">
      <c r="B35" s="296"/>
      <c r="D35" s="339"/>
      <c r="M35" s="225"/>
      <c r="P35" s="306"/>
    </row>
    <row r="36" spans="2:16" x14ac:dyDescent="0.2">
      <c r="B36" s="296" t="s">
        <v>183</v>
      </c>
      <c r="C36" s="341">
        <f>'Detail Data'!C33</f>
        <v>0</v>
      </c>
      <c r="D36" s="341">
        <f>'Detail Data'!D33</f>
        <v>0</v>
      </c>
      <c r="E36" s="313">
        <f>'Detail Data'!E33</f>
        <v>0</v>
      </c>
      <c r="F36" s="313">
        <f>'Detail Data'!F33</f>
        <v>0</v>
      </c>
      <c r="G36" s="313">
        <f>'Detail Data'!G33</f>
        <v>0</v>
      </c>
      <c r="H36" s="313"/>
      <c r="I36" s="313"/>
      <c r="P36" s="306"/>
    </row>
    <row r="37" spans="2:16" x14ac:dyDescent="0.2">
      <c r="B37" s="337" t="s">
        <v>181</v>
      </c>
      <c r="D37" s="208" t="e">
        <f>D36/D17</f>
        <v>#DIV/0!</v>
      </c>
      <c r="E37" s="208" t="e">
        <f t="shared" ref="E37:G37" si="8">E36/E17</f>
        <v>#DIV/0!</v>
      </c>
      <c r="F37" s="208" t="e">
        <f t="shared" si="8"/>
        <v>#DIV/0!</v>
      </c>
      <c r="G37" s="208" t="e">
        <f t="shared" si="8"/>
        <v>#DIV/0!</v>
      </c>
      <c r="H37" s="208"/>
      <c r="I37" s="208"/>
      <c r="J37" s="339"/>
      <c r="P37" s="306"/>
    </row>
    <row r="38" spans="2:16" x14ac:dyDescent="0.2">
      <c r="B38" s="296"/>
      <c r="D38" s="339"/>
      <c r="E38" s="208"/>
      <c r="F38" s="208"/>
      <c r="G38" s="208"/>
      <c r="H38" s="208"/>
      <c r="I38" s="208"/>
      <c r="J38" s="339"/>
      <c r="K38" s="340"/>
      <c r="M38" s="208"/>
      <c r="P38" s="306"/>
    </row>
    <row r="39" spans="2:16" x14ac:dyDescent="0.2">
      <c r="B39" s="291" t="str">
        <f>"Present value of UFCF on "&amp;TEXT(D9,"mmm dd, yyyy")&amp;" valuation date"</f>
        <v>Present value of UFCF on Jan 00, 1900 valuation date</v>
      </c>
      <c r="C39" s="211"/>
      <c r="D39" s="227"/>
      <c r="E39" s="211"/>
      <c r="F39" s="227"/>
      <c r="G39" s="227"/>
      <c r="H39" s="227"/>
      <c r="I39" s="227"/>
      <c r="J39" s="339"/>
      <c r="P39" s="306"/>
    </row>
    <row r="40" spans="2:16" ht="18" x14ac:dyDescent="0.35">
      <c r="B40" s="293"/>
      <c r="D40" s="228" t="s">
        <v>184</v>
      </c>
      <c r="E40" s="228" t="s">
        <v>185</v>
      </c>
      <c r="F40" s="294" t="s">
        <v>186</v>
      </c>
      <c r="G40" s="294" t="s">
        <v>187</v>
      </c>
      <c r="H40" s="294"/>
      <c r="I40" s="294"/>
      <c r="J40" s="339"/>
      <c r="P40" s="306"/>
    </row>
    <row r="41" spans="2:16" x14ac:dyDescent="0.2">
      <c r="B41" s="296" t="s">
        <v>188</v>
      </c>
      <c r="C41" s="297"/>
      <c r="D41" s="298">
        <f>D9</f>
        <v>0</v>
      </c>
      <c r="E41" s="299">
        <f>DATE(YEAR($D$6)+1,12,31)</f>
        <v>46387</v>
      </c>
      <c r="F41" s="299">
        <f>DATE(YEAR($D$6)+2,12,31)</f>
        <v>46752</v>
      </c>
      <c r="G41" s="299">
        <f>DATE(YEAR($D$6)+3,12,31)</f>
        <v>47118</v>
      </c>
      <c r="H41" s="298"/>
      <c r="I41" s="298"/>
      <c r="J41" s="339"/>
      <c r="P41" s="306"/>
    </row>
    <row r="42" spans="2:16" x14ac:dyDescent="0.2">
      <c r="B42" s="296" t="s">
        <v>189</v>
      </c>
      <c r="C42" s="301">
        <f>D10</f>
        <v>127.00277777777778</v>
      </c>
      <c r="D42" s="225"/>
      <c r="E42" s="229" t="e">
        <f>(E26+E28+E29+E30)*C42</f>
        <v>#DIV/0!</v>
      </c>
      <c r="F42" s="229" t="e">
        <f>F26+F28+F29+F30</f>
        <v>#DIV/0!</v>
      </c>
      <c r="G42" s="229" t="e">
        <f t="shared" ref="G42" si="9">G26+G28+G29+G30</f>
        <v>#DIV/0!</v>
      </c>
      <c r="H42" s="229"/>
      <c r="I42" s="229"/>
      <c r="J42" s="313"/>
      <c r="K42" s="197" t="s">
        <v>190</v>
      </c>
      <c r="P42" s="306"/>
    </row>
    <row r="43" spans="2:16" ht="15" customHeight="1" x14ac:dyDescent="0.2">
      <c r="B43" s="293" t="s">
        <v>191</v>
      </c>
      <c r="C43" s="303"/>
      <c r="E43" s="304" t="e">
        <f>E42/(1+$H$6)^((E41-$D$41)/365)</f>
        <v>#DIV/0!</v>
      </c>
      <c r="F43" s="304" t="e">
        <f t="shared" ref="F43:G43" si="10">F42/(1+$H$6)^((F41-$D$41)/365)</f>
        <v>#DIV/0!</v>
      </c>
      <c r="G43" s="304" t="e">
        <f t="shared" si="10"/>
        <v>#DIV/0!</v>
      </c>
      <c r="H43" s="304"/>
      <c r="I43" s="304"/>
      <c r="J43" s="313"/>
      <c r="P43" s="306"/>
    </row>
    <row r="44" spans="2:16" x14ac:dyDescent="0.2">
      <c r="B44" s="296"/>
      <c r="P44" s="306"/>
    </row>
    <row r="45" spans="2:16" x14ac:dyDescent="0.2">
      <c r="B45" s="291" t="s">
        <v>192</v>
      </c>
      <c r="C45" s="210"/>
      <c r="E45" s="210" t="s">
        <v>193</v>
      </c>
      <c r="F45" s="211"/>
      <c r="G45" s="211"/>
      <c r="H45" s="211"/>
      <c r="I45" s="211"/>
      <c r="P45" s="306"/>
    </row>
    <row r="46" spans="2:16" x14ac:dyDescent="0.2">
      <c r="B46" s="296" t="s">
        <v>194</v>
      </c>
      <c r="C46" s="308">
        <v>0.03</v>
      </c>
      <c r="E46" s="197" t="s">
        <v>195</v>
      </c>
      <c r="I46" s="225">
        <f>G19</f>
        <v>0</v>
      </c>
      <c r="J46" s="225"/>
      <c r="P46" s="306"/>
    </row>
    <row r="47" spans="2:16" x14ac:dyDescent="0.2">
      <c r="B47" s="311" t="str">
        <f>YEAR(G41)&amp;" FCF x (1+g)"</f>
        <v>2028 FCF x (1+g)</v>
      </c>
      <c r="C47" s="225" t="e">
        <f>G42*(1+C46)</f>
        <v>#DIV/0!</v>
      </c>
      <c r="E47" s="197" t="s">
        <v>196</v>
      </c>
      <c r="I47" s="344">
        <v>13.5</v>
      </c>
      <c r="J47" s="344"/>
      <c r="P47" s="306"/>
    </row>
    <row r="48" spans="2:16" x14ac:dyDescent="0.2">
      <c r="B48" s="296" t="str">
        <f>"Terminal value in "&amp;YEAR(D6)+3</f>
        <v>Terminal value in 2028</v>
      </c>
      <c r="C48" s="225" t="e">
        <f>C47/(H6-C46)</f>
        <v>#DIV/0!</v>
      </c>
      <c r="E48" s="197" t="str">
        <f>"Terminal value in "&amp;YEAR(G41)</f>
        <v>Terminal value in 2028</v>
      </c>
      <c r="I48" s="225">
        <f>I46*I47</f>
        <v>0</v>
      </c>
      <c r="J48" s="225"/>
      <c r="P48" s="306"/>
    </row>
    <row r="49" spans="2:16" x14ac:dyDescent="0.2">
      <c r="B49" s="296" t="s">
        <v>197</v>
      </c>
      <c r="C49" s="225" t="e">
        <f>C48/(1+$H$6)^(($G$41-$D$41)/365)</f>
        <v>#DIV/0!</v>
      </c>
      <c r="E49" s="197" t="s">
        <v>197</v>
      </c>
      <c r="I49" s="225" t="e">
        <f>I48/(1+$H$6)^(($G$41-$D$41)/365)</f>
        <v>#DIV/0!</v>
      </c>
      <c r="J49" s="225"/>
      <c r="P49" s="306"/>
    </row>
    <row r="50" spans="2:16" x14ac:dyDescent="0.2">
      <c r="B50" s="296" t="s">
        <v>198</v>
      </c>
      <c r="C50" s="313" t="e">
        <f>SUM(E43:G43)</f>
        <v>#DIV/0!</v>
      </c>
      <c r="E50" s="197" t="s">
        <v>198</v>
      </c>
      <c r="I50" s="225" t="e">
        <f>SUM(E43:I43)</f>
        <v>#DIV/0!</v>
      </c>
      <c r="J50" s="225"/>
      <c r="P50" s="306"/>
    </row>
    <row r="51" spans="2:16" x14ac:dyDescent="0.2">
      <c r="B51" s="293" t="s">
        <v>199</v>
      </c>
      <c r="C51" s="314" t="e">
        <f>C49+C50</f>
        <v>#DIV/0!</v>
      </c>
      <c r="D51" s="315"/>
      <c r="E51" s="222" t="s">
        <v>200</v>
      </c>
      <c r="I51" s="314" t="e">
        <f>I49+I50</f>
        <v>#DIV/0!</v>
      </c>
      <c r="J51" s="314"/>
      <c r="P51" s="306"/>
    </row>
    <row r="52" spans="2:16" x14ac:dyDescent="0.2">
      <c r="B52" s="296"/>
      <c r="D52" s="317"/>
      <c r="P52" s="306"/>
    </row>
    <row r="53" spans="2:16" x14ac:dyDescent="0.2">
      <c r="B53" s="318" t="s">
        <v>201</v>
      </c>
      <c r="C53" s="319" t="e">
        <f>C49/$C$51</f>
        <v>#DIV/0!</v>
      </c>
      <c r="E53" s="320" t="s">
        <v>201</v>
      </c>
      <c r="I53" s="319" t="e">
        <f>I49/$I$51</f>
        <v>#DIV/0!</v>
      </c>
      <c r="J53" s="319"/>
      <c r="P53" s="306"/>
    </row>
    <row r="54" spans="2:16" x14ac:dyDescent="0.2">
      <c r="B54" s="318" t="s">
        <v>202</v>
      </c>
      <c r="C54" s="319" t="e">
        <f t="shared" ref="C54" si="11">C50/$C$51</f>
        <v>#DIV/0!</v>
      </c>
      <c r="E54" s="320" t="s">
        <v>202</v>
      </c>
      <c r="G54" s="322"/>
      <c r="I54" s="319" t="e">
        <f t="shared" ref="I54" si="12">I50/$I$51</f>
        <v>#DIV/0!</v>
      </c>
      <c r="J54" s="317"/>
      <c r="P54" s="306"/>
    </row>
    <row r="55" spans="2:16" x14ac:dyDescent="0.2">
      <c r="B55" s="318" t="s">
        <v>203</v>
      </c>
      <c r="C55" s="323" t="e">
        <f>C48/G19</f>
        <v>#DIV/0!</v>
      </c>
      <c r="E55" s="197" t="s">
        <v>204</v>
      </c>
      <c r="I55" s="345" t="e">
        <f>(H6-G42/I48)/(1+G42/I48)</f>
        <v>#DIV/0!</v>
      </c>
      <c r="J55" s="345"/>
      <c r="P55" s="306"/>
    </row>
    <row r="56" spans="2:16" x14ac:dyDescent="0.2">
      <c r="B56" s="318"/>
      <c r="C56" s="346"/>
      <c r="D56" s="323"/>
      <c r="I56" s="345"/>
      <c r="J56" s="345"/>
      <c r="P56" s="306"/>
    </row>
    <row r="57" spans="2:16" x14ac:dyDescent="0.2">
      <c r="B57" s="291" t="s">
        <v>205</v>
      </c>
      <c r="C57" s="211"/>
      <c r="E57" s="210" t="s">
        <v>206</v>
      </c>
      <c r="F57" s="211"/>
      <c r="G57" s="210"/>
      <c r="H57" s="211"/>
      <c r="I57" s="211"/>
      <c r="P57" s="306"/>
    </row>
    <row r="58" spans="2:16" x14ac:dyDescent="0.2">
      <c r="B58" s="296" t="s">
        <v>207</v>
      </c>
      <c r="C58" s="205" t="s">
        <v>208</v>
      </c>
      <c r="L58" s="347"/>
      <c r="P58" s="306"/>
    </row>
    <row r="59" spans="2:16" x14ac:dyDescent="0.2">
      <c r="B59" s="348" t="s">
        <v>209</v>
      </c>
      <c r="C59" s="201">
        <v>46022</v>
      </c>
      <c r="G59" s="349" t="s">
        <v>207</v>
      </c>
      <c r="H59" s="350" t="s">
        <v>210</v>
      </c>
      <c r="I59" s="350" t="s">
        <v>211</v>
      </c>
      <c r="P59" s="306"/>
    </row>
    <row r="60" spans="2:16" x14ac:dyDescent="0.2">
      <c r="B60" s="351" t="s">
        <v>212</v>
      </c>
      <c r="C60" s="203"/>
      <c r="E60" s="197" t="s">
        <v>213</v>
      </c>
      <c r="G60" s="205" t="s">
        <v>214</v>
      </c>
      <c r="H60" s="205">
        <v>43847</v>
      </c>
      <c r="I60" s="352">
        <f>145628.076+59613.777</f>
        <v>205241.853</v>
      </c>
      <c r="J60" s="352"/>
      <c r="P60" s="306"/>
    </row>
    <row r="61" spans="2:16" x14ac:dyDescent="0.2">
      <c r="B61" s="337" t="s">
        <v>215</v>
      </c>
      <c r="C61" s="340">
        <f>'Detail Data'!D34</f>
        <v>0</v>
      </c>
      <c r="E61" s="230" t="s">
        <v>216</v>
      </c>
      <c r="G61" s="205" t="s">
        <v>214</v>
      </c>
      <c r="H61" s="205">
        <v>43827</v>
      </c>
      <c r="I61" s="352">
        <v>1303.521</v>
      </c>
      <c r="J61" s="353"/>
      <c r="P61" s="306"/>
    </row>
    <row r="62" spans="2:16" ht="15" customHeight="1" x14ac:dyDescent="0.2">
      <c r="B62" s="337" t="s">
        <v>217</v>
      </c>
      <c r="C62" s="354">
        <v>0</v>
      </c>
      <c r="E62" s="230" t="s">
        <v>218</v>
      </c>
      <c r="G62" s="205"/>
      <c r="H62" s="205"/>
      <c r="I62" s="355">
        <v>609</v>
      </c>
      <c r="K62" s="197" t="s">
        <v>219</v>
      </c>
      <c r="P62" s="306"/>
    </row>
    <row r="63" spans="2:16" ht="15" customHeight="1" x14ac:dyDescent="0.2">
      <c r="B63" s="337" t="s">
        <v>220</v>
      </c>
      <c r="C63" s="354">
        <v>0</v>
      </c>
      <c r="E63" s="197" t="s">
        <v>217</v>
      </c>
      <c r="G63" s="205"/>
      <c r="H63" s="205"/>
      <c r="I63" s="355">
        <v>0</v>
      </c>
      <c r="K63" s="197" t="s">
        <v>221</v>
      </c>
      <c r="P63" s="306"/>
    </row>
    <row r="64" spans="2:16" x14ac:dyDescent="0.2">
      <c r="B64" s="356" t="s">
        <v>222</v>
      </c>
      <c r="C64" s="342">
        <v>0</v>
      </c>
      <c r="E64" s="197" t="s">
        <v>223</v>
      </c>
      <c r="G64" s="205"/>
      <c r="H64" s="205"/>
      <c r="I64" s="355">
        <v>0</v>
      </c>
      <c r="K64" s="197" t="s">
        <v>224</v>
      </c>
      <c r="P64" s="306"/>
    </row>
    <row r="65" spans="2:16" ht="15" customHeight="1" x14ac:dyDescent="0.2">
      <c r="B65" s="351" t="s">
        <v>225</v>
      </c>
      <c r="E65" s="357" t="s">
        <v>226</v>
      </c>
      <c r="I65" s="358">
        <f>SUM(I60:I64)</f>
        <v>207154.37400000001</v>
      </c>
      <c r="J65" s="359"/>
      <c r="P65" s="306"/>
    </row>
    <row r="66" spans="2:16" x14ac:dyDescent="0.2">
      <c r="B66" s="360" t="s">
        <v>227</v>
      </c>
      <c r="C66" s="342">
        <f>'Detail Data'!D28</f>
        <v>0</v>
      </c>
      <c r="G66" s="210"/>
      <c r="H66" s="211"/>
      <c r="I66" s="227"/>
      <c r="J66" s="211"/>
      <c r="K66" s="227"/>
      <c r="L66" s="227"/>
      <c r="M66" s="227"/>
      <c r="N66" s="227"/>
      <c r="P66" s="306"/>
    </row>
    <row r="67" spans="2:16" ht="18" x14ac:dyDescent="0.35">
      <c r="B67" s="360" t="s">
        <v>228</v>
      </c>
      <c r="C67" s="342">
        <v>0</v>
      </c>
      <c r="G67" s="222"/>
      <c r="I67" s="228"/>
      <c r="J67" s="228"/>
      <c r="K67" s="294"/>
      <c r="L67" s="294"/>
      <c r="M67" s="294"/>
      <c r="N67" s="294"/>
      <c r="P67" s="306"/>
    </row>
    <row r="68" spans="2:16" x14ac:dyDescent="0.2">
      <c r="B68" s="296"/>
      <c r="H68" s="297"/>
      <c r="I68" s="298"/>
      <c r="J68" s="299"/>
      <c r="K68" s="299"/>
      <c r="L68" s="299"/>
      <c r="M68" s="298"/>
      <c r="N68" s="298"/>
      <c r="P68" s="306"/>
    </row>
    <row r="69" spans="2:16" x14ac:dyDescent="0.2">
      <c r="B69" s="361" t="s">
        <v>205</v>
      </c>
      <c r="C69" s="362">
        <f>SUM(C61:C64)-SUM(C66:C67)</f>
        <v>0</v>
      </c>
      <c r="H69" s="301"/>
      <c r="I69" s="225"/>
      <c r="J69" s="229"/>
      <c r="K69" s="229"/>
      <c r="L69" s="229"/>
      <c r="M69" s="229"/>
      <c r="N69" s="229"/>
      <c r="P69" s="306"/>
    </row>
    <row r="70" spans="2:16" x14ac:dyDescent="0.2">
      <c r="B70" s="296"/>
      <c r="G70" s="222"/>
      <c r="H70" s="303"/>
      <c r="J70" s="304"/>
      <c r="K70" s="304"/>
      <c r="L70" s="304"/>
      <c r="M70" s="304"/>
      <c r="N70" s="304"/>
      <c r="P70" s="306"/>
    </row>
    <row r="71" spans="2:16" x14ac:dyDescent="0.2">
      <c r="B71" s="291" t="s">
        <v>229</v>
      </c>
      <c r="C71" s="211"/>
      <c r="D71" s="211"/>
      <c r="P71" s="306"/>
    </row>
    <row r="72" spans="2:16" ht="18" x14ac:dyDescent="0.35">
      <c r="B72" s="296"/>
      <c r="C72" s="325" t="s">
        <v>230</v>
      </c>
      <c r="D72" s="325" t="s">
        <v>132</v>
      </c>
      <c r="G72" s="210"/>
      <c r="H72" s="210"/>
      <c r="J72" s="210"/>
      <c r="K72" s="211"/>
      <c r="L72" s="211"/>
      <c r="M72" s="211"/>
      <c r="N72" s="211"/>
      <c r="P72" s="306"/>
    </row>
    <row r="73" spans="2:16" x14ac:dyDescent="0.2">
      <c r="B73" s="296" t="s">
        <v>231</v>
      </c>
      <c r="C73" s="363" t="e">
        <f>C51</f>
        <v>#DIV/0!</v>
      </c>
      <c r="D73" s="363" t="e">
        <f>I51</f>
        <v>#DIV/0!</v>
      </c>
      <c r="H73" s="308"/>
      <c r="N73" s="225"/>
      <c r="P73" s="306"/>
    </row>
    <row r="74" spans="2:16" x14ac:dyDescent="0.2">
      <c r="B74" s="296" t="s">
        <v>205</v>
      </c>
      <c r="C74" s="231">
        <f>C69</f>
        <v>0</v>
      </c>
      <c r="D74" s="231">
        <f>C74</f>
        <v>0</v>
      </c>
      <c r="G74" s="364"/>
      <c r="H74" s="225"/>
      <c r="N74" s="344"/>
      <c r="P74" s="306"/>
    </row>
    <row r="75" spans="2:16" x14ac:dyDescent="0.2">
      <c r="B75" s="296" t="s">
        <v>232</v>
      </c>
      <c r="C75" s="326" t="e">
        <f>C73-C74</f>
        <v>#DIV/0!</v>
      </c>
      <c r="D75" s="326" t="e">
        <f>D73-D74</f>
        <v>#DIV/0!</v>
      </c>
      <c r="H75" s="225"/>
      <c r="N75" s="225"/>
      <c r="P75" s="306"/>
    </row>
    <row r="76" spans="2:16" x14ac:dyDescent="0.2">
      <c r="B76" s="296" t="s">
        <v>206</v>
      </c>
      <c r="C76" s="326">
        <v>205306</v>
      </c>
      <c r="D76" s="326">
        <f>C76</f>
        <v>205306</v>
      </c>
      <c r="H76" s="225"/>
      <c r="N76" s="225"/>
      <c r="P76" s="306"/>
    </row>
    <row r="77" spans="2:16" x14ac:dyDescent="0.2">
      <c r="B77" s="293" t="s">
        <v>233</v>
      </c>
      <c r="C77" s="365" t="e">
        <f>C75/C76</f>
        <v>#DIV/0!</v>
      </c>
      <c r="D77" s="365" t="e">
        <f t="shared" ref="D77" si="13">D75/D76</f>
        <v>#DIV/0!</v>
      </c>
      <c r="H77" s="313"/>
      <c r="N77" s="225"/>
      <c r="P77" s="306"/>
    </row>
    <row r="78" spans="2:16" x14ac:dyDescent="0.2">
      <c r="B78" s="293"/>
      <c r="C78" s="365"/>
      <c r="D78" s="365"/>
      <c r="G78" s="222"/>
      <c r="H78" s="314"/>
      <c r="I78" s="315"/>
      <c r="J78" s="222"/>
      <c r="N78" s="314"/>
      <c r="P78" s="306"/>
    </row>
    <row r="79" spans="2:16" x14ac:dyDescent="0.2">
      <c r="B79" s="366" t="s">
        <v>234</v>
      </c>
      <c r="C79" s="350" t="s">
        <v>230</v>
      </c>
      <c r="D79" s="350" t="s">
        <v>132</v>
      </c>
      <c r="E79" s="367"/>
      <c r="F79" s="367"/>
      <c r="I79" s="317"/>
      <c r="P79" s="306"/>
    </row>
    <row r="80" spans="2:16" x14ac:dyDescent="0.2">
      <c r="B80" s="296" t="s">
        <v>235</v>
      </c>
      <c r="C80" s="368" t="e">
        <f>C73/$E$17</f>
        <v>#DIV/0!</v>
      </c>
      <c r="D80" s="368" t="e">
        <f>D73/$E$17</f>
        <v>#DIV/0!</v>
      </c>
      <c r="E80" s="367"/>
      <c r="F80" s="367"/>
      <c r="G80" s="320"/>
      <c r="H80" s="319"/>
      <c r="J80" s="320"/>
      <c r="N80" s="319"/>
      <c r="P80" s="306"/>
    </row>
    <row r="81" spans="2:16" x14ac:dyDescent="0.2">
      <c r="B81" s="296" t="s">
        <v>236</v>
      </c>
      <c r="C81" s="367" t="e">
        <f>C73/$E$19</f>
        <v>#DIV/0!</v>
      </c>
      <c r="D81" s="367" t="e">
        <f>D73/$E$19</f>
        <v>#DIV/0!</v>
      </c>
      <c r="E81" s="367"/>
      <c r="F81" s="367"/>
      <c r="G81" s="320"/>
      <c r="H81" s="319"/>
      <c r="J81" s="320"/>
      <c r="L81" s="322"/>
      <c r="N81" s="319"/>
      <c r="P81" s="306"/>
    </row>
    <row r="82" spans="2:16" ht="16" thickBot="1" x14ac:dyDescent="0.25">
      <c r="B82" s="369" t="s">
        <v>237</v>
      </c>
      <c r="C82" s="370" t="e">
        <f>C73/$E$21</f>
        <v>#DIV/0!</v>
      </c>
      <c r="D82" s="370" t="e">
        <f>D73/$E$21</f>
        <v>#DIV/0!</v>
      </c>
      <c r="E82" s="370"/>
      <c r="F82" s="371"/>
      <c r="G82" s="372"/>
      <c r="H82" s="373"/>
      <c r="I82" s="329"/>
      <c r="J82" s="329"/>
      <c r="K82" s="329"/>
      <c r="L82" s="329"/>
      <c r="M82" s="329"/>
      <c r="N82" s="374"/>
      <c r="O82" s="329"/>
      <c r="P82" s="331"/>
    </row>
    <row r="83" spans="2:16" x14ac:dyDescent="0.2">
      <c r="F83" s="232"/>
    </row>
    <row r="84" spans="2:16" ht="16" thickBot="1" x14ac:dyDescent="0.25">
      <c r="F84" s="232"/>
    </row>
    <row r="85" spans="2:16" x14ac:dyDescent="0.2">
      <c r="B85" s="287" t="s">
        <v>336</v>
      </c>
      <c r="C85" s="288"/>
      <c r="D85" s="288"/>
      <c r="E85" s="288"/>
      <c r="F85" s="289"/>
      <c r="G85" s="288"/>
      <c r="H85" s="288"/>
      <c r="I85" s="290"/>
    </row>
    <row r="86" spans="2:16" x14ac:dyDescent="0.2">
      <c r="B86" s="291" t="str">
        <f>"Present value of UFCF on "&amp;TEXT(D9,"mmm dd, yyyy")&amp;" valuation date"</f>
        <v>Present value of UFCF on Jan 00, 1900 valuation date</v>
      </c>
      <c r="C86" s="211"/>
      <c r="D86" s="227"/>
      <c r="E86" s="211"/>
      <c r="F86" s="227"/>
      <c r="G86" s="227"/>
      <c r="H86" s="227"/>
      <c r="I86" s="292"/>
    </row>
    <row r="87" spans="2:16" ht="18" x14ac:dyDescent="0.35">
      <c r="B87" s="293"/>
      <c r="D87" s="228" t="s">
        <v>184</v>
      </c>
      <c r="E87" s="228" t="s">
        <v>185</v>
      </c>
      <c r="F87" s="294" t="s">
        <v>186</v>
      </c>
      <c r="G87" s="294" t="s">
        <v>187</v>
      </c>
      <c r="H87" s="294"/>
      <c r="I87" s="295"/>
    </row>
    <row r="88" spans="2:16" x14ac:dyDescent="0.2">
      <c r="B88" s="296" t="s">
        <v>188</v>
      </c>
      <c r="C88" s="297"/>
      <c r="D88" s="298">
        <f>D9</f>
        <v>0</v>
      </c>
      <c r="E88" s="299">
        <f>DATE(YEAR($D$6)+1,12,31)</f>
        <v>46387</v>
      </c>
      <c r="F88" s="299">
        <f>DATE(YEAR($D$6)+2,12,31)</f>
        <v>46752</v>
      </c>
      <c r="G88" s="299">
        <f>DATE(YEAR($D$6)+3,12,31)</f>
        <v>47118</v>
      </c>
      <c r="H88" s="298"/>
      <c r="I88" s="300"/>
    </row>
    <row r="89" spans="2:16" x14ac:dyDescent="0.2">
      <c r="B89" s="296" t="s">
        <v>189</v>
      </c>
      <c r="C89" s="301">
        <f>C42</f>
        <v>127.00277777777778</v>
      </c>
      <c r="D89" s="225"/>
      <c r="E89" s="229" t="e">
        <f>C89*'Detail Data'!D42</f>
        <v>#DIV/0!</v>
      </c>
      <c r="F89" s="229" t="e">
        <f>'Detail Data'!E42</f>
        <v>#DIV/0!</v>
      </c>
      <c r="G89" s="229" t="e">
        <f>'Detail Data'!F42</f>
        <v>#DIV/0!</v>
      </c>
      <c r="H89" s="229"/>
      <c r="I89" s="302"/>
    </row>
    <row r="90" spans="2:16" x14ac:dyDescent="0.2">
      <c r="B90" s="293" t="s">
        <v>191</v>
      </c>
      <c r="C90" s="303"/>
      <c r="E90" s="304" t="e">
        <f>E89/(1+'WACC calculation'!$C$11)^((E88-$D$41)/365)</f>
        <v>#DIV/0!</v>
      </c>
      <c r="F90" s="304" t="e">
        <f>F89/(1+'WACC calculation'!$C$11)^((F88-$D$41)/365)</f>
        <v>#DIV/0!</v>
      </c>
      <c r="G90" s="304" t="e">
        <f>G89/(1+'WACC calculation'!$C$11)^((G88-$D$41)/365)</f>
        <v>#DIV/0!</v>
      </c>
      <c r="H90" s="304"/>
      <c r="I90" s="305"/>
    </row>
    <row r="91" spans="2:16" x14ac:dyDescent="0.2">
      <c r="B91" s="296"/>
      <c r="I91" s="306"/>
    </row>
    <row r="92" spans="2:16" x14ac:dyDescent="0.2">
      <c r="B92" s="291" t="s">
        <v>192</v>
      </c>
      <c r="C92" s="210"/>
      <c r="E92" s="210" t="s">
        <v>338</v>
      </c>
      <c r="F92" s="211"/>
      <c r="G92" s="211"/>
      <c r="H92" s="211"/>
      <c r="I92" s="307"/>
    </row>
    <row r="93" spans="2:16" x14ac:dyDescent="0.2">
      <c r="B93" s="296" t="s">
        <v>194</v>
      </c>
      <c r="C93" s="308">
        <v>0.03</v>
      </c>
      <c r="E93" s="309" t="s">
        <v>341</v>
      </c>
      <c r="I93" s="310" t="e">
        <f>G26</f>
        <v>#DIV/0!</v>
      </c>
    </row>
    <row r="94" spans="2:16" x14ac:dyDescent="0.2">
      <c r="B94" s="311" t="str">
        <f>YEAR(G88)&amp;" FCF x (1+g)"</f>
        <v>2028 FCF x (1+g)</v>
      </c>
      <c r="C94" s="225" t="e">
        <f>G89*(1+C93)</f>
        <v>#DIV/0!</v>
      </c>
      <c r="E94" s="197" t="s">
        <v>196</v>
      </c>
      <c r="I94" s="312">
        <v>25.3</v>
      </c>
    </row>
    <row r="95" spans="2:16" x14ac:dyDescent="0.2">
      <c r="B95" s="296" t="str">
        <f>"Terminal value in "&amp;YEAR(G88)</f>
        <v>Terminal value in 2028</v>
      </c>
      <c r="C95" s="225" t="e">
        <f>C94/('WACC calculation'!C11-C93)</f>
        <v>#DIV/0!</v>
      </c>
      <c r="E95" s="197" t="str">
        <f>"Terminal value in "&amp;YEAR(G88)</f>
        <v>Terminal value in 2028</v>
      </c>
      <c r="I95" s="310" t="e">
        <f>I93*I94</f>
        <v>#DIV/0!</v>
      </c>
    </row>
    <row r="96" spans="2:16" x14ac:dyDescent="0.2">
      <c r="B96" s="296" t="s">
        <v>197</v>
      </c>
      <c r="C96" s="225" t="e">
        <f>C95/(1+$H$6)^(($G$41-$D$41)/365)</f>
        <v>#DIV/0!</v>
      </c>
      <c r="E96" s="197" t="s">
        <v>197</v>
      </c>
      <c r="I96" s="310" t="e">
        <f>I95/(1+'WACC calculation'!C11)^(($G$41-$D$41)/365)</f>
        <v>#DIV/0!</v>
      </c>
    </row>
    <row r="97" spans="2:17" x14ac:dyDescent="0.2">
      <c r="B97" s="296" t="s">
        <v>198</v>
      </c>
      <c r="C97" s="313" t="e">
        <f>SUM(E90:G90)</f>
        <v>#DIV/0!</v>
      </c>
      <c r="E97" s="197" t="s">
        <v>198</v>
      </c>
      <c r="I97" s="310" t="e">
        <f>SUM(E90:I90)</f>
        <v>#DIV/0!</v>
      </c>
    </row>
    <row r="98" spans="2:17" x14ac:dyDescent="0.2">
      <c r="B98" s="293" t="s">
        <v>337</v>
      </c>
      <c r="C98" s="314" t="e">
        <f>C96+C97</f>
        <v>#DIV/0!</v>
      </c>
      <c r="D98" s="315"/>
      <c r="E98" s="222" t="s">
        <v>340</v>
      </c>
      <c r="I98" s="316" t="e">
        <f>I96+I97</f>
        <v>#DIV/0!</v>
      </c>
    </row>
    <row r="99" spans="2:17" x14ac:dyDescent="0.2">
      <c r="B99" s="296"/>
      <c r="D99" s="317"/>
      <c r="I99" s="306"/>
    </row>
    <row r="100" spans="2:17" x14ac:dyDescent="0.2">
      <c r="B100" s="318" t="s">
        <v>201</v>
      </c>
      <c r="C100" s="319" t="e">
        <f>C96/$C$51</f>
        <v>#DIV/0!</v>
      </c>
      <c r="E100" s="320" t="s">
        <v>201</v>
      </c>
      <c r="I100" s="321" t="e">
        <f>I96/$I$51</f>
        <v>#DIV/0!</v>
      </c>
    </row>
    <row r="101" spans="2:17" x14ac:dyDescent="0.2">
      <c r="B101" s="318" t="s">
        <v>202</v>
      </c>
      <c r="C101" s="319" t="e">
        <f t="shared" ref="C101" si="14">C97/$C$51</f>
        <v>#DIV/0!</v>
      </c>
      <c r="E101" s="320" t="s">
        <v>202</v>
      </c>
      <c r="G101" s="322"/>
      <c r="I101" s="321" t="e">
        <f t="shared" ref="I101" si="15">I97/$I$51</f>
        <v>#DIV/0!</v>
      </c>
    </row>
    <row r="102" spans="2:17" x14ac:dyDescent="0.2">
      <c r="B102" s="318" t="s">
        <v>203</v>
      </c>
      <c r="C102" s="323" t="e">
        <f>C95/G89</f>
        <v>#DIV/0!</v>
      </c>
      <c r="E102" s="197" t="s">
        <v>204</v>
      </c>
      <c r="I102" s="324" t="e">
        <f>(H54-G89/I95)/(1+G89/I95)</f>
        <v>#DIV/0!</v>
      </c>
    </row>
    <row r="103" spans="2:17" x14ac:dyDescent="0.2">
      <c r="B103" s="318"/>
      <c r="C103" s="323"/>
      <c r="I103" s="324"/>
    </row>
    <row r="104" spans="2:17" x14ac:dyDescent="0.2">
      <c r="B104" s="291" t="s">
        <v>229</v>
      </c>
      <c r="C104" s="211"/>
      <c r="D104" s="211"/>
      <c r="I104" s="306"/>
    </row>
    <row r="105" spans="2:17" ht="18" x14ac:dyDescent="0.35">
      <c r="B105" s="296"/>
      <c r="C105" s="325" t="s">
        <v>230</v>
      </c>
      <c r="D105" s="325" t="s">
        <v>339</v>
      </c>
      <c r="G105" s="210"/>
      <c r="H105" s="210"/>
      <c r="I105" s="306"/>
      <c r="J105" s="210"/>
      <c r="K105" s="211"/>
      <c r="L105" s="211"/>
      <c r="M105" s="211"/>
      <c r="N105" s="211"/>
    </row>
    <row r="106" spans="2:17" x14ac:dyDescent="0.2">
      <c r="B106" s="296" t="s">
        <v>232</v>
      </c>
      <c r="C106" s="326" t="e">
        <f>C98</f>
        <v>#DIV/0!</v>
      </c>
      <c r="D106" s="326" t="e">
        <f>I98</f>
        <v>#DIV/0!</v>
      </c>
      <c r="H106" s="225"/>
      <c r="I106" s="306"/>
      <c r="N106" s="225"/>
    </row>
    <row r="107" spans="2:17" x14ac:dyDescent="0.2">
      <c r="B107" s="296" t="s">
        <v>206</v>
      </c>
      <c r="C107" s="326">
        <v>205306</v>
      </c>
      <c r="D107" s="326">
        <f>C107</f>
        <v>205306</v>
      </c>
      <c r="H107" s="225"/>
      <c r="I107" s="306"/>
      <c r="N107" s="225"/>
    </row>
    <row r="108" spans="2:17" ht="16" thickBot="1" x14ac:dyDescent="0.25">
      <c r="B108" s="327" t="s">
        <v>233</v>
      </c>
      <c r="C108" s="328" t="e">
        <f>C106/C107</f>
        <v>#DIV/0!</v>
      </c>
      <c r="D108" s="328" t="e">
        <f t="shared" ref="D108" si="16">D106/D107</f>
        <v>#DIV/0!</v>
      </c>
      <c r="E108" s="329"/>
      <c r="F108" s="329"/>
      <c r="G108" s="329"/>
      <c r="H108" s="330"/>
      <c r="I108" s="331"/>
      <c r="N108" s="225"/>
    </row>
    <row r="109" spans="2:17" x14ac:dyDescent="0.2">
      <c r="F109" s="232"/>
    </row>
    <row r="110" spans="2:17" x14ac:dyDescent="0.2">
      <c r="B110" s="210" t="s">
        <v>238</v>
      </c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</row>
    <row r="111" spans="2:17" x14ac:dyDescent="0.2">
      <c r="B111" s="222"/>
    </row>
    <row r="112" spans="2:17" ht="17.25" customHeight="1" x14ac:dyDescent="0.35">
      <c r="B112" s="233"/>
      <c r="C112" s="222"/>
      <c r="D112" s="234" t="s">
        <v>233</v>
      </c>
      <c r="E112" s="212"/>
      <c r="F112" s="212"/>
      <c r="G112" s="212"/>
      <c r="H112" s="212"/>
      <c r="I112" s="212"/>
      <c r="J112" s="235"/>
      <c r="L112" s="234" t="s">
        <v>239</v>
      </c>
      <c r="M112" s="212"/>
      <c r="N112" s="212"/>
      <c r="O112" s="212"/>
      <c r="P112" s="212"/>
      <c r="Q112" s="212"/>
    </row>
    <row r="113" spans="2:17" ht="15" customHeight="1" x14ac:dyDescent="0.2">
      <c r="B113" s="233"/>
      <c r="D113" s="230"/>
      <c r="E113" s="236" t="s">
        <v>240</v>
      </c>
      <c r="F113" s="236"/>
      <c r="G113" s="236"/>
      <c r="H113" s="236"/>
      <c r="I113" s="236"/>
      <c r="J113" s="237"/>
      <c r="L113" s="230"/>
      <c r="M113" s="236" t="s">
        <v>240</v>
      </c>
      <c r="N113" s="236"/>
      <c r="O113" s="236"/>
      <c r="P113" s="236"/>
      <c r="Q113" s="236"/>
    </row>
    <row r="114" spans="2:17" ht="15" customHeight="1" x14ac:dyDescent="0.2">
      <c r="B114" s="233"/>
      <c r="C114" s="238"/>
      <c r="D114" s="239" t="e">
        <f>C77</f>
        <v>#DIV/0!</v>
      </c>
      <c r="E114" s="240">
        <f t="shared" ref="E114" si="17">F114-0.005</f>
        <v>1.9999999999999997E-2</v>
      </c>
      <c r="F114" s="241">
        <f>G114-0.005</f>
        <v>2.4999999999999998E-2</v>
      </c>
      <c r="G114" s="242">
        <v>0.03</v>
      </c>
      <c r="H114" s="241">
        <f>G114+0.005</f>
        <v>3.4999999999999996E-2</v>
      </c>
      <c r="I114" s="241">
        <f t="shared" ref="I114" si="18">H114+0.005</f>
        <v>3.9999999999999994E-2</v>
      </c>
      <c r="J114" s="243"/>
      <c r="L114" s="244" t="e">
        <f>C81</f>
        <v>#DIV/0!</v>
      </c>
      <c r="M114" s="240">
        <f t="shared" ref="M114" si="19">N114-0.005</f>
        <v>1.9999999999999997E-2</v>
      </c>
      <c r="N114" s="241">
        <f>O114-0.005</f>
        <v>2.4999999999999998E-2</v>
      </c>
      <c r="O114" s="242">
        <v>0.03</v>
      </c>
      <c r="P114" s="241">
        <f>O114+0.005</f>
        <v>3.4999999999999996E-2</v>
      </c>
      <c r="Q114" s="241">
        <f t="shared" ref="Q114" si="20">P114+0.005</f>
        <v>3.9999999999999994E-2</v>
      </c>
    </row>
    <row r="115" spans="2:17" ht="15" customHeight="1" x14ac:dyDescent="0.2">
      <c r="B115" s="233"/>
      <c r="D115" s="245">
        <f t="shared" ref="D115" si="21">D116+0.005</f>
        <v>0.1</v>
      </c>
      <c r="E115" s="246" t="e">
        <f t="dataTable" ref="E115:I119" dt2D="1" dtr="1" r1="C46" r2="H6"/>
        <v>#DIV/0!</v>
      </c>
      <c r="F115" s="246" t="e">
        <v>#DIV/0!</v>
      </c>
      <c r="G115" s="246" t="e">
        <v>#DIV/0!</v>
      </c>
      <c r="H115" s="246" t="e">
        <v>#DIV/0!</v>
      </c>
      <c r="I115" s="246" t="e">
        <v>#DIV/0!</v>
      </c>
      <c r="J115" s="247"/>
      <c r="L115" s="245">
        <f t="shared" ref="L115" si="22">L116+0.005</f>
        <v>0.1</v>
      </c>
      <c r="M115" s="248" t="e">
        <f t="dataTable" ref="M115:Q119" dt2D="1" dtr="1" r1="C46" r2="H6" ca="1"/>
        <v>#DIV/0!</v>
      </c>
      <c r="N115" s="248" t="e">
        <v>#DIV/0!</v>
      </c>
      <c r="O115" s="248" t="e">
        <v>#DIV/0!</v>
      </c>
      <c r="P115" s="248" t="e">
        <v>#DIV/0!</v>
      </c>
      <c r="Q115" s="248" t="e">
        <v>#DIV/0!</v>
      </c>
    </row>
    <row r="116" spans="2:17" ht="15" customHeight="1" x14ac:dyDescent="0.2">
      <c r="B116" s="233"/>
      <c r="D116" s="245">
        <f>D117+0.005</f>
        <v>9.5000000000000001E-2</v>
      </c>
      <c r="E116" s="246" t="e">
        <v>#DIV/0!</v>
      </c>
      <c r="F116" s="246" t="e">
        <v>#DIV/0!</v>
      </c>
      <c r="G116" s="246" t="e">
        <v>#DIV/0!</v>
      </c>
      <c r="H116" s="246" t="e">
        <v>#DIV/0!</v>
      </c>
      <c r="I116" s="246" t="e">
        <v>#DIV/0!</v>
      </c>
      <c r="J116" s="247"/>
      <c r="L116" s="245">
        <f>L117+0.005</f>
        <v>9.5000000000000001E-2</v>
      </c>
      <c r="M116" s="248" t="e">
        <v>#DIV/0!</v>
      </c>
      <c r="N116" s="248" t="e">
        <v>#DIV/0!</v>
      </c>
      <c r="O116" s="248" t="e">
        <v>#DIV/0!</v>
      </c>
      <c r="P116" s="248" t="e">
        <v>#DIV/0!</v>
      </c>
      <c r="Q116" s="248" t="e">
        <v>#DIV/0!</v>
      </c>
    </row>
    <row r="117" spans="2:17" ht="15" customHeight="1" x14ac:dyDescent="0.2">
      <c r="B117" s="233"/>
      <c r="C117" s="238" t="s">
        <v>241</v>
      </c>
      <c r="D117" s="249">
        <v>0.09</v>
      </c>
      <c r="E117" s="246" t="e">
        <v>#DIV/0!</v>
      </c>
      <c r="F117" s="246" t="e">
        <v>#DIV/0!</v>
      </c>
      <c r="G117" s="246" t="e">
        <v>#DIV/0!</v>
      </c>
      <c r="H117" s="246" t="e">
        <v>#DIV/0!</v>
      </c>
      <c r="I117" s="246" t="e">
        <v>#DIV/0!</v>
      </c>
      <c r="J117" s="247"/>
      <c r="K117" s="238" t="s">
        <v>241</v>
      </c>
      <c r="L117" s="249">
        <v>0.09</v>
      </c>
      <c r="M117" s="248" t="e">
        <v>#DIV/0!</v>
      </c>
      <c r="N117" s="248" t="e">
        <v>#DIV/0!</v>
      </c>
      <c r="O117" s="248" t="e">
        <v>#DIV/0!</v>
      </c>
      <c r="P117" s="248" t="e">
        <v>#DIV/0!</v>
      </c>
      <c r="Q117" s="248" t="e">
        <v>#DIV/0!</v>
      </c>
    </row>
    <row r="118" spans="2:17" ht="15" customHeight="1" x14ac:dyDescent="0.2">
      <c r="B118" s="233"/>
      <c r="D118" s="245">
        <f>D117-0.005</f>
        <v>8.4999999999999992E-2</v>
      </c>
      <c r="E118" s="246" t="e">
        <v>#DIV/0!</v>
      </c>
      <c r="F118" s="246" t="e">
        <v>#DIV/0!</v>
      </c>
      <c r="G118" s="246" t="e">
        <v>#DIV/0!</v>
      </c>
      <c r="H118" s="246" t="e">
        <v>#DIV/0!</v>
      </c>
      <c r="I118" s="246" t="e">
        <v>#DIV/0!</v>
      </c>
      <c r="J118" s="247"/>
      <c r="L118" s="245">
        <f>L117-0.005</f>
        <v>8.4999999999999992E-2</v>
      </c>
      <c r="M118" s="248" t="e">
        <v>#DIV/0!</v>
      </c>
      <c r="N118" s="248" t="e">
        <v>#DIV/0!</v>
      </c>
      <c r="O118" s="248" t="e">
        <v>#DIV/0!</v>
      </c>
      <c r="P118" s="248" t="e">
        <v>#DIV/0!</v>
      </c>
      <c r="Q118" s="248" t="e">
        <v>#DIV/0!</v>
      </c>
    </row>
    <row r="119" spans="2:17" ht="15" customHeight="1" x14ac:dyDescent="0.2">
      <c r="B119" s="250" t="s">
        <v>242</v>
      </c>
      <c r="D119" s="251">
        <f>D118-0.005</f>
        <v>7.9999999999999988E-2</v>
      </c>
      <c r="E119" s="246" t="e">
        <v>#DIV/0!</v>
      </c>
      <c r="F119" s="246" t="e">
        <v>#DIV/0!</v>
      </c>
      <c r="G119" s="246" t="e">
        <v>#DIV/0!</v>
      </c>
      <c r="H119" s="246" t="e">
        <v>#DIV/0!</v>
      </c>
      <c r="I119" s="246" t="e">
        <v>#DIV/0!</v>
      </c>
      <c r="J119" s="247"/>
      <c r="L119" s="251">
        <f>L118-0.005</f>
        <v>7.9999999999999988E-2</v>
      </c>
      <c r="M119" s="248" t="e">
        <v>#DIV/0!</v>
      </c>
      <c r="N119" s="248" t="e">
        <v>#DIV/0!</v>
      </c>
      <c r="O119" s="248" t="e">
        <v>#DIV/0!</v>
      </c>
      <c r="P119" s="248" t="e">
        <v>#DIV/0!</v>
      </c>
      <c r="Q119" s="248" t="e">
        <v>#DIV/0!</v>
      </c>
    </row>
    <row r="120" spans="2:17" ht="15" customHeight="1" x14ac:dyDescent="0.2">
      <c r="B120" s="250" t="s">
        <v>243</v>
      </c>
      <c r="E120" s="252"/>
      <c r="F120" s="252"/>
      <c r="G120" s="252"/>
      <c r="H120" s="252"/>
      <c r="I120" s="252"/>
      <c r="J120" s="253"/>
    </row>
    <row r="121" spans="2:17" ht="17.25" customHeight="1" x14ac:dyDescent="0.35">
      <c r="B121" s="233"/>
      <c r="D121" s="234" t="s">
        <v>233</v>
      </c>
      <c r="E121" s="212"/>
      <c r="F121" s="212"/>
      <c r="G121" s="212"/>
      <c r="H121" s="212"/>
      <c r="I121" s="212"/>
      <c r="J121" s="235"/>
      <c r="L121" s="234" t="s">
        <v>239</v>
      </c>
      <c r="M121" s="212"/>
      <c r="N121" s="212"/>
      <c r="O121" s="212"/>
      <c r="P121" s="212"/>
      <c r="Q121" s="212"/>
    </row>
    <row r="122" spans="2:17" ht="15" customHeight="1" x14ac:dyDescent="0.2">
      <c r="B122" s="233"/>
      <c r="E122" s="236" t="s">
        <v>244</v>
      </c>
      <c r="F122" s="236"/>
      <c r="G122" s="236"/>
      <c r="H122" s="236"/>
      <c r="I122" s="236"/>
      <c r="J122" s="237"/>
      <c r="M122" s="236" t="s">
        <v>244</v>
      </c>
      <c r="N122" s="236"/>
      <c r="O122" s="236"/>
      <c r="P122" s="236"/>
      <c r="Q122" s="236"/>
    </row>
    <row r="123" spans="2:17" ht="15" customHeight="1" x14ac:dyDescent="0.2">
      <c r="B123" s="233"/>
      <c r="D123" s="254" t="e">
        <f>D77</f>
        <v>#DIV/0!</v>
      </c>
      <c r="E123" s="255">
        <f t="shared" ref="E123" si="23">F123-0.5</f>
        <v>11.5</v>
      </c>
      <c r="F123" s="255">
        <f>G123-0.5</f>
        <v>12</v>
      </c>
      <c r="G123" s="256">
        <v>12.5</v>
      </c>
      <c r="H123" s="255">
        <f>G123+0.5</f>
        <v>13</v>
      </c>
      <c r="I123" s="255">
        <f t="shared" ref="I123" si="24">H123+0.5</f>
        <v>13.5</v>
      </c>
      <c r="J123" s="257"/>
      <c r="L123" s="244" t="e">
        <f>D81</f>
        <v>#DIV/0!</v>
      </c>
      <c r="M123" s="255">
        <f t="shared" ref="M123" si="25">N123-0.5</f>
        <v>11.5</v>
      </c>
      <c r="N123" s="255">
        <f>O123-0.5</f>
        <v>12</v>
      </c>
      <c r="O123" s="256">
        <v>12.5</v>
      </c>
      <c r="P123" s="255">
        <f>O123+0.5</f>
        <v>13</v>
      </c>
      <c r="Q123" s="255">
        <f t="shared" ref="Q123" si="26">P123+0.5</f>
        <v>13.5</v>
      </c>
    </row>
    <row r="124" spans="2:17" ht="15" customHeight="1" x14ac:dyDescent="0.2">
      <c r="B124" s="233"/>
      <c r="D124" s="245">
        <f t="shared" ref="D124" si="27">D125+0.005</f>
        <v>0.1</v>
      </c>
      <c r="E124" s="246" t="e">
        <f t="dataTable" ref="E124:I128" dt2D="1" dtr="1" r1="I47" r2="H6" ca="1"/>
        <v>#DIV/0!</v>
      </c>
      <c r="F124" s="246" t="e">
        <v>#DIV/0!</v>
      </c>
      <c r="G124" s="246" t="e">
        <v>#DIV/0!</v>
      </c>
      <c r="H124" s="246" t="e">
        <v>#DIV/0!</v>
      </c>
      <c r="I124" s="246" t="e">
        <v>#DIV/0!</v>
      </c>
      <c r="J124" s="247"/>
      <c r="L124" s="245">
        <f t="shared" ref="L124" si="28">L125+0.005</f>
        <v>0.1</v>
      </c>
      <c r="M124" s="248" t="e">
        <f t="dataTable" ref="M124:Q128" dt2D="1" dtr="1" r1="I47" r2="H6" ca="1"/>
        <v>#DIV/0!</v>
      </c>
      <c r="N124" s="248" t="e">
        <v>#DIV/0!</v>
      </c>
      <c r="O124" s="248" t="e">
        <v>#DIV/0!</v>
      </c>
      <c r="P124" s="248" t="e">
        <v>#DIV/0!</v>
      </c>
      <c r="Q124" s="248" t="e">
        <v>#DIV/0!</v>
      </c>
    </row>
    <row r="125" spans="2:17" ht="15" customHeight="1" x14ac:dyDescent="0.2">
      <c r="B125" s="233"/>
      <c r="D125" s="245">
        <f>D126+0.005</f>
        <v>9.5000000000000001E-2</v>
      </c>
      <c r="E125" s="246" t="e">
        <v>#DIV/0!</v>
      </c>
      <c r="F125" s="246" t="e">
        <v>#DIV/0!</v>
      </c>
      <c r="G125" s="246" t="e">
        <v>#DIV/0!</v>
      </c>
      <c r="H125" s="246" t="e">
        <v>#DIV/0!</v>
      </c>
      <c r="I125" s="246" t="e">
        <v>#DIV/0!</v>
      </c>
      <c r="J125" s="247"/>
      <c r="L125" s="245">
        <f>L126+0.005</f>
        <v>9.5000000000000001E-2</v>
      </c>
      <c r="M125" s="248" t="e">
        <v>#DIV/0!</v>
      </c>
      <c r="N125" s="248" t="e">
        <v>#DIV/0!</v>
      </c>
      <c r="O125" s="248" t="e">
        <v>#DIV/0!</v>
      </c>
      <c r="P125" s="248" t="e">
        <v>#DIV/0!</v>
      </c>
      <c r="Q125" s="248" t="e">
        <v>#DIV/0!</v>
      </c>
    </row>
    <row r="126" spans="2:17" ht="15" customHeight="1" x14ac:dyDescent="0.2">
      <c r="B126" s="233"/>
      <c r="C126" s="238" t="s">
        <v>241</v>
      </c>
      <c r="D126" s="249">
        <v>0.09</v>
      </c>
      <c r="E126" s="246" t="e">
        <v>#DIV/0!</v>
      </c>
      <c r="F126" s="246" t="e">
        <v>#DIV/0!</v>
      </c>
      <c r="G126" s="246" t="e">
        <v>#DIV/0!</v>
      </c>
      <c r="H126" s="246" t="e">
        <v>#DIV/0!</v>
      </c>
      <c r="I126" s="246" t="e">
        <v>#DIV/0!</v>
      </c>
      <c r="J126" s="247"/>
      <c r="K126" s="238" t="s">
        <v>241</v>
      </c>
      <c r="L126" s="249">
        <v>0.09</v>
      </c>
      <c r="M126" s="248" t="e">
        <v>#DIV/0!</v>
      </c>
      <c r="N126" s="248" t="e">
        <v>#DIV/0!</v>
      </c>
      <c r="O126" s="248" t="e">
        <v>#DIV/0!</v>
      </c>
      <c r="P126" s="248" t="e">
        <v>#DIV/0!</v>
      </c>
      <c r="Q126" s="248" t="e">
        <v>#DIV/0!</v>
      </c>
    </row>
    <row r="127" spans="2:17" ht="15" customHeight="1" x14ac:dyDescent="0.2">
      <c r="B127" s="233"/>
      <c r="D127" s="245">
        <f>D126-0.005</f>
        <v>8.4999999999999992E-2</v>
      </c>
      <c r="E127" s="246" t="e">
        <v>#DIV/0!</v>
      </c>
      <c r="F127" s="246" t="e">
        <v>#DIV/0!</v>
      </c>
      <c r="G127" s="246" t="e">
        <v>#DIV/0!</v>
      </c>
      <c r="H127" s="246" t="e">
        <v>#DIV/0!</v>
      </c>
      <c r="I127" s="246" t="e">
        <v>#DIV/0!</v>
      </c>
      <c r="J127" s="247"/>
      <c r="L127" s="245">
        <f>L126-0.005</f>
        <v>8.4999999999999992E-2</v>
      </c>
      <c r="M127" s="248" t="e">
        <v>#DIV/0!</v>
      </c>
      <c r="N127" s="248" t="e">
        <v>#DIV/0!</v>
      </c>
      <c r="O127" s="248" t="e">
        <v>#DIV/0!</v>
      </c>
      <c r="P127" s="248" t="e">
        <v>#DIV/0!</v>
      </c>
      <c r="Q127" s="248" t="e">
        <v>#DIV/0!</v>
      </c>
    </row>
    <row r="128" spans="2:17" ht="15" customHeight="1" x14ac:dyDescent="0.2">
      <c r="B128" s="233"/>
      <c r="D128" s="251">
        <f>D127-0.005</f>
        <v>7.9999999999999988E-2</v>
      </c>
      <c r="E128" s="246" t="e">
        <v>#DIV/0!</v>
      </c>
      <c r="F128" s="246" t="e">
        <v>#DIV/0!</v>
      </c>
      <c r="G128" s="246" t="e">
        <v>#DIV/0!</v>
      </c>
      <c r="H128" s="246" t="e">
        <v>#DIV/0!</v>
      </c>
      <c r="I128" s="246" t="e">
        <v>#DIV/0!</v>
      </c>
      <c r="J128" s="247"/>
      <c r="L128" s="251">
        <f>L127-0.005</f>
        <v>7.9999999999999988E-2</v>
      </c>
      <c r="M128" s="248" t="e">
        <v>#DIV/0!</v>
      </c>
      <c r="N128" s="248" t="e">
        <v>#DIV/0!</v>
      </c>
      <c r="O128" s="248" t="e">
        <v>#DIV/0!</v>
      </c>
      <c r="P128" s="248" t="e">
        <v>#DIV/0!</v>
      </c>
      <c r="Q128" s="248" t="e">
        <v>#DIV/0!</v>
      </c>
    </row>
    <row r="129" spans="2:16" x14ac:dyDescent="0.2">
      <c r="J129" s="258"/>
    </row>
    <row r="130" spans="2:16" x14ac:dyDescent="0.2">
      <c r="B130" s="259" t="s">
        <v>245</v>
      </c>
      <c r="C130" s="259"/>
      <c r="D130" s="259"/>
      <c r="E130" s="259"/>
      <c r="G130" s="259" t="s">
        <v>246</v>
      </c>
      <c r="H130" s="259"/>
      <c r="I130" s="259"/>
      <c r="J130" s="260"/>
      <c r="K130" s="259"/>
      <c r="L130" s="259"/>
      <c r="M130" s="259"/>
      <c r="N130" s="259"/>
      <c r="O130" s="259"/>
      <c r="P130" s="259"/>
    </row>
    <row r="131" spans="2:16" x14ac:dyDescent="0.2">
      <c r="J131" s="258"/>
    </row>
    <row r="132" spans="2:16" x14ac:dyDescent="0.2">
      <c r="J132" s="258"/>
    </row>
    <row r="133" spans="2:16" x14ac:dyDescent="0.2">
      <c r="J133" s="258"/>
    </row>
    <row r="134" spans="2:16" x14ac:dyDescent="0.2">
      <c r="J134" s="258"/>
    </row>
    <row r="135" spans="2:16" x14ac:dyDescent="0.2">
      <c r="J135" s="258"/>
    </row>
    <row r="136" spans="2:16" x14ac:dyDescent="0.2">
      <c r="J136" s="258"/>
    </row>
    <row r="137" spans="2:16" x14ac:dyDescent="0.2">
      <c r="J137" s="258"/>
    </row>
    <row r="138" spans="2:16" x14ac:dyDescent="0.2">
      <c r="J138" s="258"/>
    </row>
    <row r="139" spans="2:16" x14ac:dyDescent="0.2">
      <c r="J139" s="258"/>
    </row>
    <row r="140" spans="2:16" x14ac:dyDescent="0.2">
      <c r="J140" s="258"/>
    </row>
    <row r="141" spans="2:16" x14ac:dyDescent="0.2">
      <c r="J141" s="258"/>
    </row>
    <row r="142" spans="2:16" x14ac:dyDescent="0.2">
      <c r="J142" s="258"/>
    </row>
    <row r="143" spans="2:16" x14ac:dyDescent="0.2">
      <c r="J143" s="258"/>
    </row>
    <row r="144" spans="2:16" x14ac:dyDescent="0.2">
      <c r="J144" s="258"/>
      <c r="M144" s="261"/>
    </row>
    <row r="145" spans="2:17" x14ac:dyDescent="0.2">
      <c r="J145" s="258"/>
    </row>
    <row r="146" spans="2:17" x14ac:dyDescent="0.2">
      <c r="J146" s="258"/>
    </row>
    <row r="147" spans="2:17" x14ac:dyDescent="0.2">
      <c r="J147" s="258"/>
    </row>
    <row r="148" spans="2:17" x14ac:dyDescent="0.2">
      <c r="J148" s="258"/>
    </row>
    <row r="149" spans="2:17" x14ac:dyDescent="0.2">
      <c r="J149" s="258"/>
    </row>
    <row r="150" spans="2:17" x14ac:dyDescent="0.2">
      <c r="J150" s="258"/>
    </row>
    <row r="151" spans="2:17" x14ac:dyDescent="0.2">
      <c r="B151" s="262"/>
      <c r="C151" s="263" t="s">
        <v>247</v>
      </c>
      <c r="D151" s="263" t="s">
        <v>248</v>
      </c>
      <c r="E151" s="264" t="s">
        <v>249</v>
      </c>
      <c r="G151" s="262"/>
      <c r="H151" s="265"/>
      <c r="I151" s="265"/>
      <c r="J151" s="266"/>
      <c r="K151" s="265"/>
      <c r="L151" s="265"/>
      <c r="M151" s="265"/>
      <c r="N151" s="265"/>
      <c r="O151" s="263" t="s">
        <v>247</v>
      </c>
      <c r="P151" s="263" t="s">
        <v>248</v>
      </c>
      <c r="Q151" s="264" t="s">
        <v>249</v>
      </c>
    </row>
    <row r="152" spans="2:17" x14ac:dyDescent="0.2">
      <c r="B152" s="267" t="str">
        <f>"DCF Value at "&amp;TEXT(E123,"0.0x")&amp;"-"&amp;TEXT(I123,"0.0x")&amp;" Exit EBITDA Range at "&amp;TEXT(D126,"0.0%")&amp;" WACC"</f>
        <v>DCF Value at 11.5x-13.5x Exit EBITDA Range at 9.0% WACC</v>
      </c>
      <c r="C152" s="268" t="e">
        <f>E126</f>
        <v>#DIV/0!</v>
      </c>
      <c r="D152" s="268" t="e">
        <f>E152-C152</f>
        <v>#DIV/0!</v>
      </c>
      <c r="E152" s="269" t="e">
        <f>I126</f>
        <v>#DIV/0!</v>
      </c>
      <c r="G152" s="267" t="str">
        <f>"LTM EBITDA Purchase Multiple at "&amp;TEXT(M114,"0.0%")&amp;"-"&amp;TEXT(Q114,"0.0%")&amp;" Perpetuity Growth at "&amp;TEXT(L117,"0.0%")&amp;" WACC"</f>
        <v>LTM EBITDA Purchase Multiple at 2.0%-4.0% Perpetuity Growth at 9.0% WACC</v>
      </c>
      <c r="J152" s="258"/>
      <c r="O152" s="270" t="e">
        <f>M117</f>
        <v>#DIV/0!</v>
      </c>
      <c r="P152" s="270" t="e">
        <f>Q152-O152</f>
        <v>#DIV/0!</v>
      </c>
      <c r="Q152" s="271" t="e">
        <f>Q117</f>
        <v>#DIV/0!</v>
      </c>
    </row>
    <row r="153" spans="2:17" x14ac:dyDescent="0.2">
      <c r="B153" s="272" t="str">
        <f>"DCF Value at "&amp;TEXT(E114,"0.0%")&amp;"-"&amp;TEXT(I114,"0.0%")&amp;" Perpetuity Range at "&amp;TEXT(D126,"0.0%")&amp;" WACC"</f>
        <v>DCF Value at 2.0%-4.0% Perpetuity Range at 9.0% WACC</v>
      </c>
      <c r="C153" s="268" t="e">
        <f>E117</f>
        <v>#DIV/0!</v>
      </c>
      <c r="D153" s="268" t="e">
        <f>E153-C153</f>
        <v>#DIV/0!</v>
      </c>
      <c r="E153" s="269" t="e">
        <f>I117</f>
        <v>#DIV/0!</v>
      </c>
      <c r="G153" s="272" t="e">
        <f>"LTM EBITDA Purchase Multiple at "&amp;TEXT(M126,"0.0x")&amp;"-"&amp;TEXT(Q126,"0.0x")&amp;" Exit EBITDA Multiple at "&amp;TEXT(L126,"0.0%")&amp;" WACC"</f>
        <v>#DIV/0!</v>
      </c>
      <c r="J153" s="258"/>
      <c r="O153" s="270" t="e">
        <f>M126</f>
        <v>#DIV/0!</v>
      </c>
      <c r="P153" s="270" t="e">
        <f>Q153-O153</f>
        <v>#DIV/0!</v>
      </c>
      <c r="Q153" s="271" t="e">
        <f>Q126</f>
        <v>#DIV/0!</v>
      </c>
    </row>
    <row r="154" spans="2:17" x14ac:dyDescent="0.2">
      <c r="B154" s="273" t="s">
        <v>250</v>
      </c>
      <c r="C154" s="274">
        <v>169.5</v>
      </c>
      <c r="D154" s="274">
        <f>E154-C154</f>
        <v>158.35000000000002</v>
      </c>
      <c r="E154" s="275">
        <v>327.85</v>
      </c>
      <c r="G154" s="273" t="str">
        <f>"LTM EBITDA Purchase Multiple at "&amp;TEXT(L128,"0.0%")&amp;"-"&amp;TEXT(L124,"0.0%")&amp;" WACC at "&amp;TEXT(O123,"0.0x")&amp;" Exit EBITDA"</f>
        <v>LTM EBITDA Purchase Multiple at 8.0%-10.0% WACC at 12.5x Exit EBITDA</v>
      </c>
      <c r="H154" s="276"/>
      <c r="I154" s="276"/>
      <c r="J154" s="277"/>
      <c r="K154" s="276"/>
      <c r="L154" s="276"/>
      <c r="M154" s="276"/>
      <c r="N154" s="276"/>
      <c r="O154" s="278" t="e">
        <f>O124</f>
        <v>#DIV/0!</v>
      </c>
      <c r="P154" s="278" t="e">
        <f>Q154-O154</f>
        <v>#DIV/0!</v>
      </c>
      <c r="Q154" s="279" t="e">
        <f>O128</f>
        <v>#DIV/0!</v>
      </c>
    </row>
    <row r="155" spans="2:17" x14ac:dyDescent="0.2">
      <c r="J155" s="258"/>
    </row>
    <row r="156" spans="2:17" x14ac:dyDescent="0.2">
      <c r="J156" s="258"/>
    </row>
  </sheetData>
  <mergeCells count="1">
    <mergeCell ref="E14:G14"/>
  </mergeCells>
  <conditionalFormatting sqref="E115:J119 E124:J128">
    <cfRule type="cellIs" dxfId="0" priority="1" operator="lessThan">
      <formula>$C$9</formula>
    </cfRule>
  </conditionalFormatting>
  <dataValidations count="1">
    <dataValidation type="list" allowBlank="1" showInputMessage="1" showErrorMessage="1" sqref="H9" xr:uid="{386B5D52-2979-4A10-8AC2-87A981649FF2}">
      <formula1>"0,1"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1B7B-724F-4C3D-BB7E-936BBF56ABA0}">
  <dimension ref="B2:G22"/>
  <sheetViews>
    <sheetView workbookViewId="0">
      <selection activeCell="C18" sqref="C18"/>
    </sheetView>
  </sheetViews>
  <sheetFormatPr baseColWidth="10" defaultColWidth="9" defaultRowHeight="15" x14ac:dyDescent="0.2"/>
  <cols>
    <col min="1" max="1" width="9" style="280"/>
    <col min="2" max="2" width="25" style="280" bestFit="1" customWidth="1"/>
    <col min="3" max="3" width="17.1640625" style="280" bestFit="1" customWidth="1"/>
    <col min="4" max="4" width="9" style="280"/>
    <col min="5" max="5" width="19.83203125" style="280" bestFit="1" customWidth="1"/>
    <col min="6" max="6" width="8.6640625" style="280" bestFit="1" customWidth="1"/>
    <col min="7" max="8" width="9" style="280"/>
    <col min="9" max="9" width="10.1640625" style="280" bestFit="1" customWidth="1"/>
    <col min="10" max="16384" width="9" style="280"/>
  </cols>
  <sheetData>
    <row r="2" spans="2:7" x14ac:dyDescent="0.2">
      <c r="D2" s="280" t="s">
        <v>251</v>
      </c>
    </row>
    <row r="3" spans="2:7" x14ac:dyDescent="0.2">
      <c r="B3" s="280" t="s">
        <v>252</v>
      </c>
      <c r="C3" s="281">
        <f>'Detail Data'!D3</f>
        <v>0</v>
      </c>
      <c r="D3" s="282" t="e">
        <f>C3/C5</f>
        <v>#DIV/0!</v>
      </c>
    </row>
    <row r="4" spans="2:7" x14ac:dyDescent="0.2">
      <c r="B4" s="280" t="s">
        <v>253</v>
      </c>
      <c r="C4" s="281">
        <f>'Detail Data'!D34</f>
        <v>0</v>
      </c>
      <c r="D4" s="282" t="e">
        <f>C4/C5</f>
        <v>#DIV/0!</v>
      </c>
      <c r="G4" s="283"/>
    </row>
    <row r="5" spans="2:7" x14ac:dyDescent="0.2">
      <c r="B5" s="280" t="s">
        <v>254</v>
      </c>
      <c r="C5" s="284">
        <f>C3+C4</f>
        <v>0</v>
      </c>
      <c r="F5" s="285"/>
      <c r="G5" s="283"/>
    </row>
    <row r="7" spans="2:7" x14ac:dyDescent="0.2">
      <c r="B7" s="280" t="s">
        <v>255</v>
      </c>
    </row>
    <row r="8" spans="2:7" x14ac:dyDescent="0.2">
      <c r="B8" s="280" t="s">
        <v>256</v>
      </c>
      <c r="C8" s="286">
        <v>4.4200000000000003E-2</v>
      </c>
    </row>
    <row r="9" spans="2:7" x14ac:dyDescent="0.2">
      <c r="B9" s="280" t="s">
        <v>257</v>
      </c>
      <c r="C9" s="286">
        <v>4.9599999999999998E-2</v>
      </c>
      <c r="D9" s="280" t="s">
        <v>343</v>
      </c>
    </row>
    <row r="10" spans="2:7" x14ac:dyDescent="0.2">
      <c r="B10" s="280" t="s">
        <v>258</v>
      </c>
      <c r="C10" s="282">
        <v>0.35</v>
      </c>
    </row>
    <row r="11" spans="2:7" x14ac:dyDescent="0.2">
      <c r="B11" s="280" t="s">
        <v>259</v>
      </c>
      <c r="C11" s="283">
        <f>C9+C10*C8</f>
        <v>6.5070000000000003E-2</v>
      </c>
    </row>
    <row r="13" spans="2:7" x14ac:dyDescent="0.2">
      <c r="B13" s="280" t="s">
        <v>260</v>
      </c>
      <c r="C13" s="283">
        <v>5.57E-2</v>
      </c>
      <c r="D13" s="280" t="s">
        <v>344</v>
      </c>
    </row>
    <row r="14" spans="2:7" x14ac:dyDescent="0.2">
      <c r="B14" s="280" t="s">
        <v>176</v>
      </c>
      <c r="C14" s="283" t="e">
        <f>'DCF 1-Pager'!D25</f>
        <v>#DIV/0!</v>
      </c>
    </row>
    <row r="16" spans="2:7" x14ac:dyDescent="0.2">
      <c r="B16" s="280" t="s">
        <v>261</v>
      </c>
      <c r="C16" s="283" t="e">
        <f>D3*C11+D4*C13*(1-C14)</f>
        <v>#DIV/0!</v>
      </c>
    </row>
    <row r="20" spans="3:3" x14ac:dyDescent="0.2">
      <c r="C20" s="282"/>
    </row>
    <row r="21" spans="3:3" x14ac:dyDescent="0.2">
      <c r="C21" s="283"/>
    </row>
    <row r="22" spans="3:3" x14ac:dyDescent="0.2">
      <c r="C22" s="2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7"/>
  <sheetViews>
    <sheetView zoomScaleNormal="100" workbookViewId="0">
      <selection activeCell="E7" sqref="E7"/>
    </sheetView>
  </sheetViews>
  <sheetFormatPr baseColWidth="10" defaultColWidth="8.6640625" defaultRowHeight="14" x14ac:dyDescent="0.2"/>
  <sheetData>
    <row r="1" spans="1:12" ht="12.75" customHeight="1" x14ac:dyDescent="0.2">
      <c r="A1" s="93"/>
      <c r="B1" s="93"/>
      <c r="C1" s="93"/>
      <c r="D1" s="185" t="s">
        <v>262</v>
      </c>
      <c r="E1" s="93"/>
      <c r="F1" s="93"/>
      <c r="G1" s="93"/>
      <c r="H1" s="93"/>
      <c r="I1" s="93"/>
      <c r="J1" s="93"/>
      <c r="K1" s="93"/>
      <c r="L1" s="93"/>
    </row>
    <row r="2" spans="1:12" ht="12.75" customHeight="1" x14ac:dyDescent="0.2">
      <c r="A2" s="93" t="s">
        <v>263</v>
      </c>
      <c r="B2" s="186" t="e">
        <f>'Detail Data'!E12</f>
        <v>#DIV/0!</v>
      </c>
      <c r="C2" s="93"/>
      <c r="D2" s="187" t="s">
        <v>15</v>
      </c>
      <c r="E2" s="93"/>
      <c r="F2" s="93"/>
      <c r="G2" s="93"/>
      <c r="H2" s="93"/>
      <c r="I2" s="93"/>
      <c r="J2" s="93"/>
      <c r="K2" s="93"/>
      <c r="L2" s="93"/>
    </row>
    <row r="3" spans="1:12" ht="12.75" customHeight="1" x14ac:dyDescent="0.2">
      <c r="A3" s="93" t="s">
        <v>264</v>
      </c>
      <c r="B3" s="188" t="e">
        <f>'Detail Data'!G7</f>
        <v>#DIV/0!</v>
      </c>
      <c r="C3" s="93"/>
      <c r="D3" s="189" t="s">
        <v>265</v>
      </c>
      <c r="E3" s="93"/>
      <c r="F3" s="93"/>
      <c r="G3" s="93"/>
      <c r="H3" s="93"/>
      <c r="I3" s="93"/>
      <c r="J3" s="93"/>
      <c r="K3" s="93"/>
      <c r="L3" s="93"/>
    </row>
    <row r="4" spans="1:12" ht="12.75" customHeight="1" x14ac:dyDescent="0.2">
      <c r="A4" s="93" t="s">
        <v>266</v>
      </c>
      <c r="B4" s="188" t="e">
        <f>B2*B3</f>
        <v>#DIV/0!</v>
      </c>
      <c r="C4" s="93"/>
      <c r="D4" s="189" t="s">
        <v>267</v>
      </c>
      <c r="E4" s="93"/>
      <c r="F4" s="93"/>
      <c r="G4" s="93"/>
      <c r="H4" s="93"/>
      <c r="I4" s="93"/>
      <c r="J4" s="93"/>
      <c r="K4" s="93"/>
      <c r="L4" s="93"/>
    </row>
    <row r="5" spans="1:12" ht="12.75" customHeight="1" x14ac:dyDescent="0.2">
      <c r="A5" s="93"/>
      <c r="B5" s="188"/>
      <c r="C5" s="93"/>
      <c r="D5" s="189"/>
      <c r="E5" s="93"/>
      <c r="F5" s="93"/>
      <c r="G5" s="93"/>
      <c r="H5" s="93"/>
      <c r="I5" s="93"/>
      <c r="J5" s="93"/>
      <c r="K5" s="93"/>
      <c r="L5" s="93"/>
    </row>
    <row r="6" spans="1:12" ht="12.75" customHeight="1" x14ac:dyDescent="0.2">
      <c r="A6" s="93"/>
      <c r="B6" s="188"/>
      <c r="C6" s="93"/>
      <c r="D6" s="189"/>
      <c r="E6" s="93"/>
      <c r="F6" s="93"/>
      <c r="G6" s="93"/>
      <c r="H6" s="93"/>
      <c r="I6" s="93"/>
      <c r="J6" s="93"/>
      <c r="K6" s="93"/>
      <c r="L6" s="93"/>
    </row>
    <row r="7" spans="1:12" ht="12.75" customHeight="1" x14ac:dyDescent="0.2">
      <c r="A7" s="93"/>
      <c r="B7" s="188"/>
      <c r="C7" s="93"/>
      <c r="D7" s="189"/>
      <c r="E7" s="93"/>
      <c r="F7" s="93"/>
      <c r="G7" s="93"/>
      <c r="H7" s="93"/>
      <c r="I7" s="93"/>
      <c r="J7" s="93"/>
      <c r="K7" s="93"/>
      <c r="L7" s="93"/>
    </row>
    <row r="8" spans="1:12" ht="12.75" customHeight="1" x14ac:dyDescent="0.2">
      <c r="A8" s="93" t="s">
        <v>268</v>
      </c>
      <c r="B8" s="183" t="e">
        <f>B4/#REF!-1</f>
        <v>#DIV/0!</v>
      </c>
      <c r="C8" s="93"/>
      <c r="D8" s="189" t="s">
        <v>269</v>
      </c>
      <c r="E8" s="93"/>
      <c r="F8" s="93"/>
      <c r="G8" s="93"/>
      <c r="H8" s="93"/>
      <c r="I8" s="93"/>
      <c r="J8" s="93"/>
      <c r="K8" s="93"/>
      <c r="L8" s="93"/>
    </row>
    <row r="9" spans="1:12" ht="12.75" customHeight="1" x14ac:dyDescent="0.2">
      <c r="A9" s="148"/>
      <c r="B9" s="148"/>
      <c r="C9" s="148"/>
      <c r="D9" s="187" t="s">
        <v>270</v>
      </c>
      <c r="E9" s="148"/>
      <c r="F9" s="93"/>
      <c r="G9" s="93"/>
      <c r="H9" s="93"/>
      <c r="I9" s="93"/>
      <c r="J9" s="93"/>
      <c r="K9" s="93"/>
      <c r="L9" s="93"/>
    </row>
    <row r="10" spans="1:12" ht="12.75" customHeight="1" x14ac:dyDescent="0.2">
      <c r="A10" s="93" t="s">
        <v>271</v>
      </c>
      <c r="B10" s="186" t="e">
        <f>'Detail Data'!E11</f>
        <v>#DIV/0!</v>
      </c>
      <c r="C10" s="93"/>
      <c r="D10" s="189" t="s">
        <v>272</v>
      </c>
      <c r="E10" s="93"/>
      <c r="F10" s="93"/>
      <c r="G10" s="93"/>
      <c r="H10" s="93"/>
      <c r="I10" s="93"/>
      <c r="J10" s="93"/>
      <c r="K10" s="93"/>
      <c r="L10" s="93"/>
    </row>
    <row r="11" spans="1:12" ht="12.75" customHeight="1" x14ac:dyDescent="0.2">
      <c r="A11" s="93" t="s">
        <v>273</v>
      </c>
      <c r="B11" s="127">
        <f>'Detail Data'!E3</f>
        <v>0</v>
      </c>
      <c r="C11" s="93"/>
      <c r="D11" s="189" t="s">
        <v>274</v>
      </c>
      <c r="E11" s="93"/>
      <c r="F11" s="93"/>
      <c r="G11" s="93"/>
      <c r="H11" s="93"/>
      <c r="I11" s="93"/>
      <c r="J11" s="93"/>
      <c r="K11" s="93"/>
      <c r="L11" s="93"/>
    </row>
    <row r="12" spans="1:12" ht="12.75" customHeight="1" x14ac:dyDescent="0.2">
      <c r="A12" s="93" t="s">
        <v>275</v>
      </c>
      <c r="B12" s="127" t="e">
        <f>'Detail Data'!G5*'Detail Data'!E11</f>
        <v>#DIV/0!</v>
      </c>
      <c r="C12" s="93"/>
      <c r="D12" s="189" t="s">
        <v>276</v>
      </c>
      <c r="E12" s="93"/>
      <c r="F12" s="93"/>
      <c r="G12" s="93"/>
      <c r="H12" s="93"/>
      <c r="I12" s="93"/>
      <c r="J12" s="93"/>
      <c r="K12" s="93"/>
      <c r="L12" s="93"/>
    </row>
    <row r="13" spans="1:12" ht="12.75" customHeight="1" x14ac:dyDescent="0.2">
      <c r="A13" s="93" t="s">
        <v>211</v>
      </c>
      <c r="B13" s="190">
        <f>'Detail Data'!E9</f>
        <v>0</v>
      </c>
      <c r="C13" s="93"/>
      <c r="D13" s="187" t="s">
        <v>277</v>
      </c>
      <c r="E13" s="93"/>
      <c r="F13" s="93"/>
      <c r="G13" s="93"/>
      <c r="H13" s="93"/>
      <c r="I13" s="93"/>
      <c r="J13" s="93"/>
      <c r="K13" s="93"/>
      <c r="L13" s="93"/>
    </row>
    <row r="14" spans="1:12" ht="12.75" customHeight="1" x14ac:dyDescent="0.2">
      <c r="A14" s="93" t="s">
        <v>278</v>
      </c>
      <c r="B14" s="188" t="e">
        <f>B11/B13</f>
        <v>#DIV/0!</v>
      </c>
      <c r="C14" s="93"/>
      <c r="D14" s="189" t="s">
        <v>279</v>
      </c>
      <c r="E14" s="93"/>
      <c r="F14" s="93"/>
      <c r="G14" s="93"/>
      <c r="H14" s="93"/>
      <c r="I14" s="93"/>
      <c r="J14" s="93"/>
      <c r="K14" s="93"/>
      <c r="L14" s="93"/>
    </row>
    <row r="15" spans="1:12" ht="12.75" customHeight="1" x14ac:dyDescent="0.2">
      <c r="A15" s="93" t="s">
        <v>268</v>
      </c>
      <c r="B15" s="183" t="e">
        <f>B14/#REF!-1</f>
        <v>#DIV/0!</v>
      </c>
      <c r="C15" s="93"/>
      <c r="D15" s="189" t="s">
        <v>280</v>
      </c>
      <c r="E15" s="93"/>
      <c r="F15" s="93"/>
      <c r="G15" s="93"/>
      <c r="H15" s="93"/>
      <c r="I15" s="93"/>
      <c r="J15" s="93"/>
      <c r="K15" s="93"/>
      <c r="L15" s="93"/>
    </row>
    <row r="16" spans="1:12" ht="12.75" customHeight="1" x14ac:dyDescent="0.2">
      <c r="A16" s="93"/>
      <c r="B16" s="93"/>
      <c r="C16" s="93"/>
      <c r="D16" s="189"/>
      <c r="E16" s="93"/>
      <c r="F16" s="93"/>
      <c r="G16" s="93"/>
      <c r="H16" s="93"/>
      <c r="I16" s="93"/>
      <c r="J16" s="93"/>
      <c r="K16" s="93"/>
      <c r="L16" s="93"/>
    </row>
    <row r="17" spans="1:12" ht="15" customHeight="1" x14ac:dyDescent="0.2">
      <c r="A17" s="93"/>
      <c r="B17" s="93"/>
      <c r="C17" s="93"/>
      <c r="D17" s="191" t="s">
        <v>281</v>
      </c>
      <c r="E17" s="93"/>
      <c r="F17" s="93"/>
      <c r="G17" s="93"/>
      <c r="H17" s="93"/>
      <c r="I17" s="93"/>
      <c r="J17" s="93"/>
      <c r="K17" s="93"/>
      <c r="L17" s="93"/>
    </row>
    <row r="18" spans="1:12" ht="12.75" customHeight="1" x14ac:dyDescent="0.2">
      <c r="A18" s="93"/>
      <c r="B18" s="93"/>
      <c r="C18" s="93"/>
      <c r="D18" s="192" t="s">
        <v>282</v>
      </c>
      <c r="E18" s="93"/>
      <c r="F18" s="93"/>
      <c r="G18" s="93"/>
      <c r="H18" s="93"/>
      <c r="I18" s="93"/>
      <c r="J18" s="93"/>
      <c r="K18" s="93"/>
      <c r="L18" s="93"/>
    </row>
    <row r="19" spans="1:12" ht="12.75" customHeight="1" x14ac:dyDescent="0.2">
      <c r="A19" s="93" t="e">
        <f>'Detail Data'!#REF!-'Detail Data'!#REF!</f>
        <v>#REF!</v>
      </c>
      <c r="B19" s="93"/>
      <c r="C19" s="93"/>
      <c r="D19" s="93" t="s">
        <v>283</v>
      </c>
      <c r="E19" s="93"/>
      <c r="F19" s="93"/>
      <c r="G19" s="93"/>
      <c r="H19" s="93"/>
      <c r="I19" s="93"/>
      <c r="J19" s="93"/>
      <c r="K19" s="93"/>
      <c r="L19" s="93"/>
    </row>
    <row r="20" spans="1:12" ht="12.75" customHeight="1" x14ac:dyDescent="0.2">
      <c r="A20" s="93" t="e">
        <f>'Detail Data'!#REF!-'Detail Data'!#REF!</f>
        <v>#REF!</v>
      </c>
      <c r="B20" s="93"/>
      <c r="C20" s="93"/>
      <c r="D20" s="93" t="s">
        <v>284</v>
      </c>
      <c r="E20" s="93"/>
      <c r="F20" s="93"/>
      <c r="G20" s="93"/>
      <c r="H20" s="93"/>
      <c r="I20" s="93"/>
      <c r="J20" s="93"/>
      <c r="K20" s="93"/>
      <c r="L20" s="93"/>
    </row>
    <row r="21" spans="1:12" ht="12.75" customHeight="1" x14ac:dyDescent="0.2">
      <c r="A21" s="93"/>
      <c r="B21" s="93"/>
      <c r="C21" s="93"/>
      <c r="D21" s="93" t="s">
        <v>285</v>
      </c>
      <c r="E21" s="93"/>
      <c r="F21" s="93"/>
      <c r="G21" s="93"/>
      <c r="H21" s="93"/>
      <c r="I21" s="93"/>
      <c r="J21" s="93"/>
      <c r="K21" s="93"/>
      <c r="L21" s="93"/>
    </row>
    <row r="22" spans="1:12" ht="12.75" customHeight="1" x14ac:dyDescent="0.2">
      <c r="A22" s="93" t="s">
        <v>286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</row>
    <row r="23" spans="1:12" ht="12.75" customHeight="1" x14ac:dyDescent="0.2">
      <c r="A23" s="93" t="s">
        <v>287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</row>
    <row r="24" spans="1:12" ht="12.75" customHeight="1" x14ac:dyDescent="0.2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</row>
    <row r="25" spans="1:12" ht="12.75" customHeight="1" x14ac:dyDescent="0.2">
      <c r="A25" s="93"/>
      <c r="B25" s="93"/>
      <c r="C25" s="93"/>
      <c r="D25" s="193" t="s">
        <v>288</v>
      </c>
      <c r="E25" s="194"/>
      <c r="F25" s="93"/>
      <c r="G25" s="93"/>
      <c r="H25" s="93"/>
      <c r="I25" s="93"/>
      <c r="J25" s="93"/>
      <c r="K25" s="93"/>
      <c r="L25" s="93"/>
    </row>
    <row r="26" spans="1:12" ht="12.75" customHeight="1" x14ac:dyDescent="0.2">
      <c r="A26" s="93"/>
      <c r="B26" s="93"/>
      <c r="C26" s="93"/>
      <c r="D26" s="93"/>
      <c r="E26" s="194"/>
      <c r="F26" s="93"/>
      <c r="G26" s="93"/>
      <c r="H26" s="93"/>
      <c r="I26" s="93"/>
      <c r="J26" s="93"/>
      <c r="K26" s="93"/>
      <c r="L26" s="93"/>
    </row>
    <row r="27" spans="1:12" ht="12.75" customHeight="1" x14ac:dyDescent="0.2">
      <c r="A27" s="93"/>
      <c r="B27" s="93"/>
      <c r="C27" s="93"/>
      <c r="D27" s="93"/>
      <c r="E27" s="194"/>
      <c r="F27" s="93"/>
      <c r="G27" s="93"/>
      <c r="H27" s="93"/>
      <c r="I27" s="93"/>
      <c r="J27" s="93"/>
      <c r="K27" s="93"/>
      <c r="L27" s="93"/>
    </row>
    <row r="28" spans="1:12" ht="12.75" customHeight="1" x14ac:dyDescent="0.2">
      <c r="A28" s="93"/>
      <c r="B28" s="93"/>
      <c r="C28" s="93"/>
      <c r="D28" s="193" t="s">
        <v>289</v>
      </c>
      <c r="E28" s="194"/>
      <c r="F28" s="93"/>
      <c r="G28" s="193" t="s">
        <v>290</v>
      </c>
      <c r="H28" s="93"/>
      <c r="I28" s="93"/>
      <c r="J28" s="93"/>
      <c r="K28" s="93"/>
      <c r="L28" s="93"/>
    </row>
    <row r="29" spans="1:12" ht="12.75" customHeight="1" x14ac:dyDescent="0.2">
      <c r="A29" s="93"/>
      <c r="B29" s="93"/>
      <c r="C29" s="93"/>
      <c r="D29" s="93"/>
      <c r="E29" s="194"/>
      <c r="F29" s="93"/>
      <c r="G29" s="193" t="s">
        <v>291</v>
      </c>
      <c r="H29" s="93"/>
      <c r="I29" s="93"/>
      <c r="J29" s="93"/>
      <c r="K29" s="93"/>
      <c r="L29" s="93"/>
    </row>
    <row r="30" spans="1:12" ht="12.75" customHeight="1" x14ac:dyDescent="0.2">
      <c r="A30" s="93"/>
      <c r="B30" s="93"/>
      <c r="C30" s="93"/>
      <c r="D30" s="93"/>
      <c r="E30" s="194"/>
      <c r="F30" s="93"/>
      <c r="G30" s="193" t="s">
        <v>292</v>
      </c>
      <c r="H30" s="93"/>
      <c r="I30" s="93"/>
      <c r="J30" s="93"/>
      <c r="K30" s="93"/>
      <c r="L30" s="93"/>
    </row>
    <row r="31" spans="1:12" ht="12.75" customHeight="1" x14ac:dyDescent="0.2">
      <c r="A31" s="93"/>
      <c r="B31" s="93"/>
      <c r="C31" s="93"/>
      <c r="D31" s="93"/>
      <c r="E31" s="194"/>
      <c r="F31" s="93"/>
      <c r="G31" s="193"/>
      <c r="H31" s="93"/>
      <c r="I31" s="93"/>
      <c r="J31" s="93"/>
      <c r="K31" s="93"/>
      <c r="L31" s="93"/>
    </row>
    <row r="32" spans="1:12" ht="12.75" customHeight="1" x14ac:dyDescent="0.2">
      <c r="A32" s="93"/>
      <c r="B32" s="93"/>
      <c r="C32" s="93"/>
      <c r="D32" s="93"/>
      <c r="E32" s="194"/>
      <c r="F32" s="93"/>
      <c r="G32" s="193"/>
      <c r="H32" s="93"/>
      <c r="I32" s="93"/>
      <c r="J32" s="93"/>
      <c r="K32" s="93"/>
      <c r="L32" s="93"/>
    </row>
    <row r="33" spans="1:12" ht="12.75" customHeight="1" x14ac:dyDescent="0.2">
      <c r="A33" s="93"/>
      <c r="B33" s="93"/>
      <c r="C33" s="93"/>
      <c r="D33" s="93"/>
      <c r="E33" s="194"/>
      <c r="F33" s="93"/>
      <c r="G33" s="193"/>
      <c r="H33" s="93"/>
      <c r="I33" s="93"/>
      <c r="J33" s="93"/>
      <c r="K33" s="93"/>
      <c r="L33" s="93"/>
    </row>
    <row r="34" spans="1:12" ht="12.75" customHeight="1" x14ac:dyDescent="0.2">
      <c r="A34" s="93"/>
      <c r="B34" s="93"/>
      <c r="C34" s="93"/>
      <c r="D34" s="93"/>
      <c r="E34" s="194"/>
      <c r="F34" s="93"/>
      <c r="G34" s="193"/>
      <c r="H34" s="93"/>
      <c r="I34" s="93"/>
      <c r="J34" s="93"/>
      <c r="K34" s="93"/>
      <c r="L34" s="93"/>
    </row>
    <row r="35" spans="1:12" ht="12.75" customHeight="1" x14ac:dyDescent="0.2">
      <c r="A35" s="93"/>
      <c r="B35" s="93"/>
      <c r="C35" s="93"/>
      <c r="D35" s="93"/>
      <c r="E35" s="194"/>
      <c r="F35" s="93"/>
      <c r="G35" s="193"/>
      <c r="H35" s="93"/>
      <c r="I35" s="93"/>
      <c r="J35" s="93"/>
      <c r="K35" s="93"/>
      <c r="L35" s="93"/>
    </row>
    <row r="36" spans="1:12" ht="12.75" customHeight="1" x14ac:dyDescent="0.2">
      <c r="A36" s="93"/>
      <c r="B36" s="93"/>
      <c r="C36" s="93"/>
      <c r="D36" s="93" t="s">
        <v>293</v>
      </c>
      <c r="E36" s="194"/>
      <c r="F36" s="192" t="s">
        <v>294</v>
      </c>
      <c r="G36" s="93"/>
      <c r="H36" s="93"/>
      <c r="I36" s="93"/>
      <c r="J36" s="93"/>
      <c r="K36" s="93"/>
      <c r="L36" s="93"/>
    </row>
    <row r="37" spans="1:12" ht="12.75" customHeight="1" x14ac:dyDescent="0.2">
      <c r="A37" s="93"/>
      <c r="B37" s="93"/>
      <c r="C37" s="93"/>
      <c r="D37" s="93" t="s">
        <v>295</v>
      </c>
      <c r="E37" s="194"/>
      <c r="F37" s="192" t="s">
        <v>296</v>
      </c>
      <c r="G37" s="93"/>
      <c r="H37" s="93"/>
      <c r="I37" s="93"/>
      <c r="J37" s="93"/>
      <c r="K37" s="93"/>
      <c r="L37" s="93"/>
    </row>
    <row r="38" spans="1:12" ht="12.75" customHeight="1" x14ac:dyDescent="0.2">
      <c r="A38" s="93"/>
      <c r="B38" s="93"/>
      <c r="C38" s="93"/>
      <c r="D38" s="93" t="s">
        <v>297</v>
      </c>
      <c r="E38" s="93"/>
      <c r="F38" s="192" t="s">
        <v>298</v>
      </c>
      <c r="G38" s="93"/>
      <c r="H38" s="93"/>
      <c r="I38" s="93"/>
      <c r="J38" s="93"/>
      <c r="K38" s="93"/>
      <c r="L38" s="93"/>
    </row>
    <row r="39" spans="1:12" ht="12.75" customHeight="1" x14ac:dyDescent="0.2">
      <c r="A39" s="93"/>
      <c r="B39" s="93"/>
      <c r="C39" s="93"/>
      <c r="D39" s="93"/>
      <c r="E39" s="194"/>
      <c r="F39" s="93"/>
      <c r="G39" s="193"/>
      <c r="H39" s="93"/>
      <c r="I39" s="93"/>
      <c r="J39" s="93"/>
      <c r="K39" s="93"/>
      <c r="L39" s="93"/>
    </row>
    <row r="40" spans="1:12" ht="18" customHeight="1" x14ac:dyDescent="0.2">
      <c r="A40" s="93"/>
      <c r="B40" s="93"/>
      <c r="C40" s="93"/>
      <c r="D40" s="195" t="s">
        <v>299</v>
      </c>
      <c r="E40" s="194"/>
      <c r="F40" s="93"/>
      <c r="G40" s="193"/>
      <c r="H40" s="93"/>
      <c r="I40" s="93"/>
      <c r="J40" s="93"/>
      <c r="K40" s="93"/>
      <c r="L40" s="93"/>
    </row>
    <row r="41" spans="1:12" ht="12.75" customHeight="1" x14ac:dyDescent="0.2">
      <c r="A41" s="93"/>
      <c r="B41" s="93"/>
      <c r="C41" s="93"/>
      <c r="D41" s="93"/>
      <c r="E41" s="194"/>
      <c r="F41" s="93"/>
      <c r="G41" s="93"/>
      <c r="H41" s="93"/>
      <c r="I41" s="93"/>
      <c r="J41" s="93"/>
      <c r="K41" s="93"/>
      <c r="L41" s="93"/>
    </row>
    <row r="42" spans="1:12" ht="12.75" customHeight="1" x14ac:dyDescent="0.2">
      <c r="A42" s="93"/>
      <c r="B42" s="93"/>
      <c r="C42" s="93"/>
      <c r="D42" s="93"/>
      <c r="E42" s="194"/>
      <c r="F42" s="93"/>
      <c r="G42" s="93"/>
      <c r="H42" s="93"/>
      <c r="I42" s="93"/>
      <c r="J42" s="93"/>
      <c r="K42" s="93"/>
      <c r="L42" s="93"/>
    </row>
    <row r="43" spans="1:12" ht="12.75" customHeight="1" x14ac:dyDescent="0.2">
      <c r="A43" s="93"/>
      <c r="B43" s="93"/>
      <c r="C43" s="93"/>
      <c r="D43" s="193" t="s">
        <v>300</v>
      </c>
      <c r="E43" s="194"/>
      <c r="F43" s="93"/>
      <c r="G43" s="193" t="s">
        <v>301</v>
      </c>
      <c r="H43" s="93"/>
      <c r="I43" s="93"/>
      <c r="J43" s="93"/>
      <c r="K43" s="93"/>
      <c r="L43" s="93"/>
    </row>
    <row r="44" spans="1:12" ht="12.75" customHeight="1" x14ac:dyDescent="0.2">
      <c r="A44" s="93"/>
      <c r="B44" s="93"/>
      <c r="C44" s="93"/>
      <c r="D44" s="93"/>
      <c r="E44" s="194"/>
      <c r="F44" s="93"/>
      <c r="G44" s="193" t="s">
        <v>302</v>
      </c>
      <c r="H44" s="93"/>
      <c r="I44" s="93"/>
      <c r="J44" s="93"/>
      <c r="K44" s="93"/>
      <c r="L44" s="93"/>
    </row>
    <row r="45" spans="1:12" ht="12.75" customHeight="1" x14ac:dyDescent="0.2">
      <c r="A45" s="93"/>
      <c r="B45" s="93"/>
      <c r="C45" s="93"/>
      <c r="D45" s="93"/>
      <c r="E45" s="194"/>
      <c r="F45" s="93"/>
      <c r="G45" s="193" t="s">
        <v>303</v>
      </c>
      <c r="H45" s="93"/>
      <c r="I45" s="93"/>
      <c r="J45" s="93"/>
      <c r="K45" s="93"/>
      <c r="L45" s="93"/>
    </row>
    <row r="46" spans="1:12" ht="12.75" customHeight="1" x14ac:dyDescent="0.2">
      <c r="A46" s="93"/>
      <c r="B46" s="93"/>
      <c r="C46" s="93"/>
      <c r="D46" s="93"/>
      <c r="E46" s="194"/>
      <c r="F46" s="93"/>
      <c r="G46" s="193" t="s">
        <v>304</v>
      </c>
      <c r="H46" s="93"/>
      <c r="I46" s="93"/>
      <c r="J46" s="93"/>
      <c r="K46" s="93"/>
      <c r="L46" s="93"/>
    </row>
    <row r="47" spans="1:12" ht="12.75" customHeight="1" x14ac:dyDescent="0.2">
      <c r="A47" s="93"/>
      <c r="B47" s="93"/>
      <c r="C47" s="93"/>
      <c r="D47" s="93"/>
      <c r="E47" s="194"/>
      <c r="F47" s="93"/>
      <c r="G47" s="193" t="s">
        <v>305</v>
      </c>
      <c r="H47" s="93"/>
      <c r="I47" s="93"/>
      <c r="J47" s="93"/>
      <c r="K47" s="93"/>
      <c r="L47" s="93"/>
    </row>
    <row r="48" spans="1:12" ht="12.75" customHeight="1" x14ac:dyDescent="0.2">
      <c r="A48" s="93"/>
      <c r="B48" s="93"/>
      <c r="C48" s="93"/>
      <c r="D48" s="193" t="s">
        <v>306</v>
      </c>
      <c r="E48" s="194"/>
      <c r="F48" s="93"/>
      <c r="G48" s="193" t="s">
        <v>307</v>
      </c>
      <c r="H48" s="93"/>
      <c r="I48" s="93"/>
      <c r="J48" s="93"/>
      <c r="K48" s="93"/>
      <c r="L48" s="93"/>
    </row>
    <row r="49" spans="1:12" ht="12.75" customHeight="1" x14ac:dyDescent="0.2">
      <c r="A49" s="93"/>
      <c r="B49" s="196"/>
      <c r="C49" s="196"/>
      <c r="D49" s="93"/>
      <c r="E49" s="194"/>
      <c r="F49" s="93"/>
      <c r="G49" s="193" t="s">
        <v>308</v>
      </c>
      <c r="H49" s="93"/>
      <c r="I49" s="93"/>
      <c r="J49" s="93"/>
      <c r="K49" s="93"/>
      <c r="L49" s="93"/>
    </row>
    <row r="50" spans="1:12" ht="12.75" customHeight="1" x14ac:dyDescent="0.2">
      <c r="A50" s="93"/>
      <c r="B50" s="196"/>
      <c r="C50" s="196"/>
      <c r="D50" s="93"/>
      <c r="E50" s="194"/>
      <c r="F50" s="93"/>
      <c r="G50" s="193"/>
      <c r="H50" s="93"/>
      <c r="I50" s="93"/>
      <c r="J50" s="93"/>
      <c r="K50" s="93"/>
      <c r="L50" s="93"/>
    </row>
    <row r="51" spans="1:12" ht="12.75" customHeight="1" x14ac:dyDescent="0.2">
      <c r="A51" s="93"/>
      <c r="B51" s="196"/>
      <c r="C51" s="196"/>
      <c r="D51" s="93"/>
      <c r="E51" s="194"/>
      <c r="F51" s="93"/>
      <c r="G51" s="193" t="s">
        <v>309</v>
      </c>
      <c r="H51" s="93"/>
      <c r="I51" s="93"/>
      <c r="J51" s="93"/>
      <c r="K51" s="93"/>
      <c r="L51" s="93"/>
    </row>
    <row r="52" spans="1:12" ht="12.75" customHeight="1" x14ac:dyDescent="0.2">
      <c r="A52" s="93"/>
      <c r="B52" s="196"/>
      <c r="C52" s="196"/>
      <c r="D52" s="93"/>
      <c r="E52" s="194"/>
      <c r="F52" s="93"/>
      <c r="G52" s="193" t="s">
        <v>310</v>
      </c>
      <c r="H52" s="93"/>
      <c r="I52" s="93"/>
      <c r="J52" s="93"/>
      <c r="K52" s="93"/>
      <c r="L52" s="93"/>
    </row>
    <row r="53" spans="1:12" ht="12.75" customHeight="1" x14ac:dyDescent="0.2">
      <c r="A53" s="93"/>
      <c r="B53" s="93"/>
      <c r="C53" s="93"/>
      <c r="D53" s="93"/>
      <c r="E53" s="194"/>
      <c r="F53" s="93"/>
      <c r="G53" s="193" t="s">
        <v>311</v>
      </c>
      <c r="H53" s="93"/>
      <c r="I53" s="93"/>
      <c r="J53" s="93"/>
      <c r="K53" s="93"/>
      <c r="L53" s="93"/>
    </row>
    <row r="54" spans="1:12" ht="12.75" customHeight="1" x14ac:dyDescent="0.2">
      <c r="A54" s="93"/>
      <c r="B54" s="93"/>
      <c r="C54" s="93"/>
      <c r="D54" s="93"/>
      <c r="E54" s="194"/>
      <c r="F54" s="93"/>
      <c r="G54" s="93"/>
      <c r="H54" s="93"/>
      <c r="I54" s="93"/>
      <c r="J54" s="93"/>
      <c r="K54" s="93"/>
      <c r="L54" s="93"/>
    </row>
    <row r="55" spans="1:12" ht="12.75" customHeight="1" x14ac:dyDescent="0.2">
      <c r="A55" s="93"/>
      <c r="B55" s="93"/>
      <c r="C55" s="93"/>
      <c r="D55" s="193" t="s">
        <v>312</v>
      </c>
      <c r="E55" s="194"/>
      <c r="F55" s="93"/>
      <c r="G55" s="193" t="s">
        <v>313</v>
      </c>
      <c r="H55" s="93"/>
      <c r="I55" s="93"/>
      <c r="J55" s="93"/>
      <c r="K55" s="93"/>
      <c r="L55" s="93"/>
    </row>
    <row r="56" spans="1:12" ht="12.75" customHeight="1" x14ac:dyDescent="0.2">
      <c r="A56" s="93"/>
      <c r="B56" s="93"/>
      <c r="C56" s="93"/>
      <c r="D56" s="93"/>
      <c r="E56" s="194"/>
      <c r="F56" s="93"/>
      <c r="G56" s="93"/>
      <c r="H56" s="93"/>
      <c r="I56" s="93"/>
      <c r="J56" s="93"/>
      <c r="K56" s="93"/>
      <c r="L56" s="93"/>
    </row>
    <row r="57" spans="1:12" ht="12.75" customHeight="1" x14ac:dyDescent="0.2">
      <c r="A57" s="93"/>
      <c r="B57" s="93"/>
      <c r="C57" s="93"/>
      <c r="D57" s="193" t="s">
        <v>153</v>
      </c>
      <c r="E57" s="194"/>
      <c r="F57" s="93"/>
      <c r="G57" s="193" t="s">
        <v>314</v>
      </c>
      <c r="H57" s="93"/>
      <c r="I57" s="93"/>
      <c r="J57" s="93"/>
      <c r="K57" s="93"/>
      <c r="L57" s="93"/>
    </row>
    <row r="58" spans="1:12" ht="12.75" customHeight="1" x14ac:dyDescent="0.2">
      <c r="A58" s="93"/>
      <c r="B58" s="93"/>
      <c r="C58" s="93"/>
      <c r="D58" s="93"/>
      <c r="E58" s="194"/>
      <c r="F58" s="93"/>
      <c r="G58" s="93"/>
      <c r="H58" s="93"/>
      <c r="I58" s="93"/>
      <c r="J58" s="93"/>
      <c r="K58" s="93"/>
      <c r="L58" s="93"/>
    </row>
    <row r="59" spans="1:12" ht="12.75" customHeight="1" x14ac:dyDescent="0.2">
      <c r="A59" s="93"/>
      <c r="B59" s="93"/>
      <c r="C59" s="93"/>
      <c r="D59" s="193" t="s">
        <v>174</v>
      </c>
      <c r="E59" s="194"/>
      <c r="F59" s="93"/>
      <c r="G59" s="193" t="s">
        <v>315</v>
      </c>
      <c r="H59" s="93"/>
      <c r="I59" s="93"/>
      <c r="J59" s="93"/>
      <c r="K59" s="93"/>
      <c r="L59" s="93"/>
    </row>
    <row r="60" spans="1:12" ht="12.75" customHeight="1" x14ac:dyDescent="0.2">
      <c r="A60" s="93"/>
      <c r="B60" s="93"/>
      <c r="C60" s="93"/>
      <c r="D60" s="193" t="s">
        <v>316</v>
      </c>
      <c r="E60" s="194"/>
      <c r="F60" s="93"/>
      <c r="G60" s="193" t="s">
        <v>317</v>
      </c>
      <c r="H60" s="93"/>
      <c r="I60" s="93"/>
      <c r="J60" s="93"/>
      <c r="K60" s="93"/>
      <c r="L60" s="93"/>
    </row>
    <row r="61" spans="1:12" ht="12.75" customHeight="1" x14ac:dyDescent="0.2">
      <c r="A61" s="93"/>
      <c r="B61" s="93"/>
      <c r="C61" s="93"/>
      <c r="D61" s="93"/>
      <c r="E61" s="194"/>
      <c r="F61" s="93"/>
      <c r="G61" s="193" t="s">
        <v>318</v>
      </c>
      <c r="H61" s="93"/>
      <c r="I61" s="93"/>
      <c r="J61" s="93"/>
      <c r="K61" s="93"/>
      <c r="L61" s="93"/>
    </row>
    <row r="62" spans="1:12" ht="12.75" customHeight="1" x14ac:dyDescent="0.2">
      <c r="A62" s="93"/>
      <c r="B62" s="93"/>
      <c r="C62" s="93"/>
      <c r="D62" s="93"/>
      <c r="E62" s="194"/>
      <c r="F62" s="93"/>
      <c r="G62" s="193" t="s">
        <v>319</v>
      </c>
      <c r="H62" s="93"/>
      <c r="I62" s="93"/>
      <c r="J62" s="93"/>
      <c r="K62" s="93"/>
      <c r="L62" s="93"/>
    </row>
    <row r="63" spans="1:12" ht="12.75" customHeight="1" x14ac:dyDescent="0.2">
      <c r="A63" s="93"/>
      <c r="B63" s="93"/>
      <c r="C63" s="93"/>
      <c r="D63" s="93"/>
      <c r="E63" s="194"/>
      <c r="F63" s="93"/>
      <c r="G63" s="193" t="s">
        <v>320</v>
      </c>
      <c r="H63" s="93"/>
      <c r="I63" s="93"/>
      <c r="J63" s="93"/>
      <c r="K63" s="93"/>
      <c r="L63" s="93"/>
    </row>
    <row r="64" spans="1:12" ht="12.75" customHeight="1" x14ac:dyDescent="0.2">
      <c r="A64" s="93"/>
      <c r="B64" s="93"/>
      <c r="C64" s="93"/>
      <c r="D64" s="93"/>
      <c r="E64" s="194"/>
      <c r="F64" s="93"/>
      <c r="G64" s="193" t="s">
        <v>321</v>
      </c>
      <c r="H64" s="93"/>
      <c r="I64" s="93"/>
      <c r="J64" s="93"/>
      <c r="K64" s="93"/>
      <c r="L64" s="93"/>
    </row>
    <row r="65" spans="1:12" ht="12.75" customHeight="1" x14ac:dyDescent="0.2">
      <c r="A65" s="93"/>
      <c r="B65" s="93"/>
      <c r="C65" s="93"/>
      <c r="D65" s="93"/>
      <c r="E65" s="194"/>
      <c r="F65" s="93"/>
      <c r="G65" s="193" t="s">
        <v>322</v>
      </c>
      <c r="H65" s="93"/>
      <c r="I65" s="93"/>
      <c r="J65" s="93"/>
      <c r="K65" s="93"/>
      <c r="L65" s="93"/>
    </row>
    <row r="66" spans="1:12" ht="12.75" customHeight="1" x14ac:dyDescent="0.2">
      <c r="A66" s="93"/>
      <c r="B66" s="93"/>
      <c r="C66" s="93"/>
      <c r="D66" s="93"/>
      <c r="E66" s="194"/>
      <c r="F66" s="93"/>
      <c r="G66" s="93"/>
      <c r="H66" s="93"/>
      <c r="I66" s="93"/>
      <c r="J66" s="93"/>
      <c r="K66" s="93"/>
      <c r="L66" s="93"/>
    </row>
    <row r="67" spans="1:12" ht="12.75" customHeight="1" x14ac:dyDescent="0.2">
      <c r="A67" s="93"/>
      <c r="B67" s="93"/>
      <c r="C67" s="93"/>
      <c r="D67" s="193" t="s">
        <v>323</v>
      </c>
      <c r="E67" s="194"/>
      <c r="F67" s="93"/>
      <c r="G67" s="193" t="s">
        <v>324</v>
      </c>
      <c r="H67" s="93"/>
      <c r="I67" s="93"/>
      <c r="J67" s="93"/>
      <c r="K67" s="93"/>
      <c r="L67" s="93"/>
    </row>
    <row r="68" spans="1:12" ht="12.75" customHeight="1" x14ac:dyDescent="0.2">
      <c r="A68" s="93"/>
      <c r="B68" s="93"/>
      <c r="C68" s="93"/>
      <c r="D68" s="93"/>
      <c r="E68" s="194"/>
      <c r="F68" s="93"/>
      <c r="G68" s="193" t="s">
        <v>325</v>
      </c>
      <c r="H68" s="93"/>
      <c r="I68" s="93"/>
      <c r="J68" s="93"/>
      <c r="K68" s="93"/>
      <c r="L68" s="93"/>
    </row>
    <row r="69" spans="1:12" ht="12.75" customHeight="1" x14ac:dyDescent="0.2">
      <c r="A69" s="93"/>
      <c r="B69" s="93"/>
      <c r="C69" s="93"/>
      <c r="D69" s="93"/>
      <c r="E69" s="194"/>
      <c r="F69" s="93"/>
      <c r="G69" s="193" t="s">
        <v>326</v>
      </c>
      <c r="H69" s="93"/>
      <c r="I69" s="93"/>
      <c r="J69" s="93"/>
      <c r="K69" s="93"/>
      <c r="L69" s="93"/>
    </row>
    <row r="70" spans="1:12" ht="12.75" customHeight="1" x14ac:dyDescent="0.2">
      <c r="A70" s="93"/>
      <c r="B70" s="93"/>
      <c r="C70" s="93"/>
      <c r="D70" s="93"/>
      <c r="E70" s="194"/>
      <c r="F70" s="93"/>
      <c r="G70" s="93"/>
      <c r="H70" s="93"/>
      <c r="I70" s="93"/>
      <c r="J70" s="93"/>
      <c r="K70" s="93"/>
      <c r="L70" s="93"/>
    </row>
    <row r="71" spans="1:12" ht="12.75" customHeight="1" x14ac:dyDescent="0.2">
      <c r="A71" s="93"/>
      <c r="B71" s="93"/>
      <c r="C71" s="93"/>
      <c r="D71" s="193" t="s">
        <v>327</v>
      </c>
      <c r="E71" s="194"/>
      <c r="F71" s="93"/>
      <c r="G71" s="193" t="s">
        <v>328</v>
      </c>
      <c r="H71" s="93"/>
      <c r="I71" s="93"/>
      <c r="J71" s="93"/>
      <c r="K71" s="93"/>
      <c r="L71" s="93"/>
    </row>
    <row r="72" spans="1:12" ht="12.75" customHeight="1" x14ac:dyDescent="0.2">
      <c r="A72" s="93"/>
      <c r="B72" s="93"/>
      <c r="C72" s="93"/>
      <c r="D72" s="193" t="s">
        <v>329</v>
      </c>
      <c r="E72" s="194"/>
      <c r="F72" s="93"/>
      <c r="G72" s="193" t="s">
        <v>330</v>
      </c>
      <c r="H72" s="93"/>
      <c r="I72" s="93"/>
      <c r="J72" s="93"/>
      <c r="K72" s="93"/>
      <c r="L72" s="93"/>
    </row>
    <row r="73" spans="1:12" ht="12.75" customHeight="1" x14ac:dyDescent="0.2">
      <c r="A73" s="93"/>
      <c r="B73" s="93"/>
      <c r="C73" s="93"/>
      <c r="D73" s="93"/>
      <c r="E73" s="194"/>
      <c r="F73" s="93"/>
      <c r="G73" s="93"/>
      <c r="H73" s="93"/>
      <c r="I73" s="93"/>
      <c r="J73" s="93"/>
      <c r="K73" s="93"/>
      <c r="L73" s="93"/>
    </row>
    <row r="74" spans="1:12" ht="12.75" customHeight="1" x14ac:dyDescent="0.2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</row>
    <row r="75" spans="1:12" ht="12.75" customHeight="1" x14ac:dyDescent="0.2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</row>
    <row r="76" spans="1:12" ht="12.75" customHeight="1" x14ac:dyDescent="0.2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 ht="12.75" customHeight="1" x14ac:dyDescent="0.2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</row>
  </sheetData>
  <hyperlinks>
    <hyperlink ref="D1" r:id="rId1" location="cite_note-:0-1" xr:uid="{00000000-0004-0000-0200-000000000000}"/>
    <hyperlink ref="D18" r:id="rId2" xr:uid="{00000000-0004-0000-0200-000001000000}"/>
    <hyperlink ref="F36" r:id="rId3" xr:uid="{00000000-0004-0000-0200-000002000000}"/>
    <hyperlink ref="F37" r:id="rId4" xr:uid="{00000000-0004-0000-0200-000003000000}"/>
    <hyperlink ref="F38" r:id="rId5" xr:uid="{00000000-0004-0000-0200-000004000000}"/>
  </hyperlinks>
  <pageMargins left="0.7" right="0.7" top="0.75" bottom="0.75" header="0.511811023622047" footer="0.511811023622047"/>
  <pageSetup paperSize="9" orientation="portrait" horizontalDpi="300" verticalDpi="300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7"/>
  <sheetViews>
    <sheetView zoomScaleNormal="100" workbookViewId="0"/>
  </sheetViews>
  <sheetFormatPr baseColWidth="10" defaultColWidth="8.6640625" defaultRowHeight="14" x14ac:dyDescent="0.2"/>
  <sheetData>
    <row r="1" ht="12" customHeight="1" x14ac:dyDescent="0.2"/>
    <row r="2" ht="12" customHeight="1" x14ac:dyDescent="0.2"/>
    <row r="3" ht="12" customHeight="1" x14ac:dyDescent="0.2"/>
    <row r="4" ht="12" customHeight="1" x14ac:dyDescent="0.2"/>
    <row r="5" ht="12" customHeight="1" x14ac:dyDescent="0.2"/>
    <row r="6" ht="12" customHeight="1" x14ac:dyDescent="0.2"/>
    <row r="7" ht="12" customHeight="1" x14ac:dyDescent="0.2"/>
    <row r="8" ht="12" customHeight="1" x14ac:dyDescent="0.2"/>
    <row r="9" ht="12" customHeight="1" x14ac:dyDescent="0.2"/>
    <row r="10" ht="12" customHeight="1" x14ac:dyDescent="0.2"/>
    <row r="11" ht="12" customHeight="1" x14ac:dyDescent="0.2"/>
    <row r="12" ht="12" customHeight="1" x14ac:dyDescent="0.2"/>
    <row r="13" ht="12" customHeight="1" x14ac:dyDescent="0.2"/>
    <row r="14" ht="12" customHeight="1" x14ac:dyDescent="0.2"/>
    <row r="15" ht="12" customHeight="1" x14ac:dyDescent="0.2"/>
    <row r="1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FrontPage</vt:lpstr>
      <vt:lpstr>Detail Data</vt:lpstr>
      <vt:lpstr>DCF 1-Pager</vt:lpstr>
      <vt:lpstr>WACC calculation</vt:lpstr>
      <vt:lpstr>Key Defns</vt:lpstr>
      <vt:lpstr>Sheet1</vt:lpstr>
      <vt:lpstr>FrontPage!COMPANY_NAME</vt:lpstr>
      <vt:lpstr>DETAIL</vt:lpstr>
      <vt:lpstr>FrontPage</vt:lpstr>
      <vt:lpstr>FUNDAMENTALS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Piotrowski</dc:creator>
  <cp:keywords/>
  <dc:description/>
  <cp:lastModifiedBy>Lester, Chris</cp:lastModifiedBy>
  <cp:revision>0</cp:revision>
  <dcterms:created xsi:type="dcterms:W3CDTF">1999-08-06T00:33:52Z</dcterms:created>
  <dcterms:modified xsi:type="dcterms:W3CDTF">2026-09-30T22:54:24Z</dcterms:modified>
  <cp:category/>
  <cp:contentStatus/>
</cp:coreProperties>
</file>